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928"/>
  <workbookPr dateCompatibility="0" defaultThemeVersion="202300"/>
  <mc:AlternateContent xmlns:mc="http://schemas.openxmlformats.org/markup-compatibility/2006">
    <mc:Choice Requires="x15">
      <x15ac:absPath xmlns:x15ac="http://schemas.microsoft.com/office/spreadsheetml/2010/11/ac" url="https://temahau-my.sharepoint.com/personal/poutud1_student_eit_ac_nz/Documents/AgileProjects/"/>
    </mc:Choice>
  </mc:AlternateContent>
  <xr:revisionPtr revIDLastSave="0" documentId="8_{F3E08997-A0E9-41E2-869D-B6BA28DDC660}" xr6:coauthVersionLast="47" xr6:coauthVersionMax="47" xr10:uidLastSave="{00000000-0000-0000-0000-000000000000}"/>
  <bookViews>
    <workbookView xWindow="-120" yWindow="-120" windowWidth="29040" windowHeight="15720" activeTab="1" xr2:uid="{5FD2ECAC-26D3-441E-98DE-5DAF7311D9C6}"/>
  </bookViews>
  <sheets>
    <sheet name="About" sheetId="1" r:id="rId1"/>
    <sheet name="Light" sheetId="2" r:id="rId2"/>
    <sheet name="Dark" sheetId="3" r:id="rId3"/>
    <sheet name="Color" sheetId="4" r:id="rId4"/>
  </sheets>
  <definedNames>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iterateDelta="1E-4"/>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I7" i="4" l="1"/>
  <c r="I35" i="4" s="1"/>
  <c r="I7" i="3"/>
  <c r="I17" i="3" s="1"/>
  <c r="I7" i="2"/>
  <c r="I27" i="2" s="1"/>
  <c r="I29" i="4"/>
  <c r="I23" i="4"/>
  <c r="I17" i="4"/>
  <c r="F13" i="4"/>
  <c r="I13" i="4" s="1"/>
  <c r="F12" i="4"/>
  <c r="I11" i="4"/>
  <c r="I9" i="4"/>
  <c r="J7" i="4"/>
  <c r="K7" i="4" s="1"/>
  <c r="I6" i="4"/>
  <c r="I29" i="3"/>
  <c r="I23" i="3"/>
  <c r="F13" i="3"/>
  <c r="F12" i="3"/>
  <c r="F14" i="3" s="1"/>
  <c r="I14" i="3" s="1"/>
  <c r="J7" i="3"/>
  <c r="J11" i="3" s="1"/>
  <c r="F32" i="2"/>
  <c r="F30" i="2"/>
  <c r="F28" i="2"/>
  <c r="I28" i="2" s="1"/>
  <c r="F27" i="2"/>
  <c r="F26" i="2"/>
  <c r="F25" i="2"/>
  <c r="I24" i="2"/>
  <c r="F22" i="2"/>
  <c r="F20" i="2"/>
  <c r="F18" i="2"/>
  <c r="I18" i="2" s="1"/>
  <c r="F17" i="2"/>
  <c r="I17" i="2" s="1"/>
  <c r="F16" i="2"/>
  <c r="F14" i="2"/>
  <c r="I13" i="2"/>
  <c r="F13" i="2"/>
  <c r="F12" i="2"/>
  <c r="K7" i="2"/>
  <c r="J7" i="2"/>
  <c r="J9" i="2" s="1"/>
  <c r="I9" i="2" l="1"/>
  <c r="I15" i="2"/>
  <c r="I9" i="3"/>
  <c r="I33" i="3"/>
  <c r="I11" i="2"/>
  <c r="I16" i="2"/>
  <c r="I20" i="2"/>
  <c r="I26" i="2"/>
  <c r="I30" i="2"/>
  <c r="J13" i="3"/>
  <c r="I34" i="3"/>
  <c r="I33" i="4"/>
  <c r="I14" i="2"/>
  <c r="I19" i="2"/>
  <c r="I29" i="2"/>
  <c r="K7" i="3"/>
  <c r="K9" i="3" s="1"/>
  <c r="I25" i="2"/>
  <c r="I13" i="3"/>
  <c r="I6" i="2"/>
  <c r="I12" i="2"/>
  <c r="J16" i="2"/>
  <c r="I21" i="2"/>
  <c r="I11" i="3"/>
  <c r="I35" i="3"/>
  <c r="I34" i="4"/>
  <c r="I22" i="2"/>
  <c r="I6" i="3"/>
  <c r="K30" i="2"/>
  <c r="K22" i="2"/>
  <c r="K17" i="2"/>
  <c r="K27" i="2"/>
  <c r="K25" i="2"/>
  <c r="K19" i="2"/>
  <c r="K16" i="2"/>
  <c r="K28" i="2"/>
  <c r="K26" i="2"/>
  <c r="K24" i="2"/>
  <c r="K18" i="2"/>
  <c r="K29" i="2"/>
  <c r="K20" i="2"/>
  <c r="L7" i="2"/>
  <c r="J30" i="2"/>
  <c r="J29" i="2"/>
  <c r="J20" i="2"/>
  <c r="J15" i="2"/>
  <c r="J22" i="2"/>
  <c r="J17" i="2"/>
  <c r="J27" i="2"/>
  <c r="J25" i="2"/>
  <c r="J13" i="2"/>
  <c r="J21" i="2"/>
  <c r="J28" i="2"/>
  <c r="J26" i="2"/>
  <c r="J24" i="2"/>
  <c r="J18" i="2"/>
  <c r="K12" i="2"/>
  <c r="J14" i="2"/>
  <c r="J19" i="2"/>
  <c r="K14" i="2"/>
  <c r="K9" i="2"/>
  <c r="K13" i="2"/>
  <c r="J11" i="2"/>
  <c r="K15" i="2"/>
  <c r="K21" i="2"/>
  <c r="K11" i="2"/>
  <c r="J12" i="2"/>
  <c r="J15" i="3"/>
  <c r="K29" i="3"/>
  <c r="K33" i="3"/>
  <c r="K34" i="3"/>
  <c r="K17" i="3"/>
  <c r="K35" i="3"/>
  <c r="K23" i="3"/>
  <c r="K14" i="3"/>
  <c r="K12" i="3"/>
  <c r="L7" i="3"/>
  <c r="K18" i="3"/>
  <c r="K11" i="3"/>
  <c r="F16" i="3"/>
  <c r="F18" i="3"/>
  <c r="F24" i="3"/>
  <c r="F15" i="3"/>
  <c r="I15" i="3" s="1"/>
  <c r="I12" i="3"/>
  <c r="K13" i="3"/>
  <c r="J33" i="3"/>
  <c r="J34" i="3"/>
  <c r="J23" i="3"/>
  <c r="J29" i="3"/>
  <c r="J35" i="3"/>
  <c r="J24" i="3"/>
  <c r="J17" i="3"/>
  <c r="J18" i="3"/>
  <c r="J12" i="3"/>
  <c r="J14" i="3"/>
  <c r="J9" i="3"/>
  <c r="K33" i="4"/>
  <c r="K23" i="4"/>
  <c r="K29" i="4"/>
  <c r="K13" i="4"/>
  <c r="K35" i="4"/>
  <c r="K12" i="4"/>
  <c r="L7" i="4"/>
  <c r="K17" i="4"/>
  <c r="K34" i="4"/>
  <c r="K9" i="4"/>
  <c r="K11" i="4"/>
  <c r="F24" i="4"/>
  <c r="J24" i="4" s="1"/>
  <c r="F18" i="4"/>
  <c r="F14" i="4"/>
  <c r="I14" i="4" s="1"/>
  <c r="F15" i="4"/>
  <c r="I15" i="4" s="1"/>
  <c r="I12" i="4"/>
  <c r="F16" i="4"/>
  <c r="J16" i="4" s="1"/>
  <c r="J35" i="4"/>
  <c r="J17" i="4"/>
  <c r="J29" i="4"/>
  <c r="J34" i="4"/>
  <c r="J33" i="4"/>
  <c r="J9" i="4"/>
  <c r="J18" i="4"/>
  <c r="J12" i="4"/>
  <c r="J23" i="4"/>
  <c r="J14" i="4"/>
  <c r="J15" i="4"/>
  <c r="J13" i="4"/>
  <c r="J11" i="4"/>
  <c r="K24" i="4" l="1"/>
  <c r="K14" i="4"/>
  <c r="F28" i="4"/>
  <c r="L28" i="4" s="1"/>
  <c r="I16" i="4"/>
  <c r="F28" i="3"/>
  <c r="I16" i="3"/>
  <c r="J16" i="3"/>
  <c r="L34" i="4"/>
  <c r="L35" i="4"/>
  <c r="L33" i="4"/>
  <c r="L16" i="4"/>
  <c r="L24" i="4"/>
  <c r="L23" i="4"/>
  <c r="L15" i="4"/>
  <c r="L29" i="4"/>
  <c r="L14" i="4"/>
  <c r="L13" i="4"/>
  <c r="L18" i="4"/>
  <c r="M7" i="4"/>
  <c r="L11" i="4"/>
  <c r="L12" i="4"/>
  <c r="L9" i="4"/>
  <c r="L17" i="4"/>
  <c r="K16" i="3"/>
  <c r="K16" i="4"/>
  <c r="F19" i="4"/>
  <c r="L19" i="4" s="1"/>
  <c r="I18" i="4"/>
  <c r="K15" i="4"/>
  <c r="K18" i="4"/>
  <c r="I24" i="3"/>
  <c r="F25" i="3"/>
  <c r="K15" i="3"/>
  <c r="L27" i="2"/>
  <c r="L25" i="2"/>
  <c r="L13" i="2"/>
  <c r="L19" i="2"/>
  <c r="L16" i="2"/>
  <c r="L21" i="2"/>
  <c r="L29" i="2"/>
  <c r="L20" i="2"/>
  <c r="L30" i="2"/>
  <c r="L22" i="2"/>
  <c r="L15" i="2"/>
  <c r="L9" i="2"/>
  <c r="L18" i="2"/>
  <c r="L14" i="2"/>
  <c r="L26" i="2"/>
  <c r="L17" i="2"/>
  <c r="M7" i="2"/>
  <c r="L12" i="2"/>
  <c r="L28" i="2"/>
  <c r="L24" i="2"/>
  <c r="L11" i="2"/>
  <c r="F25" i="4"/>
  <c r="I24" i="4"/>
  <c r="I18" i="3"/>
  <c r="F19" i="3"/>
  <c r="L33" i="3"/>
  <c r="L28" i="3"/>
  <c r="L34" i="3"/>
  <c r="L19" i="3"/>
  <c r="L17" i="3"/>
  <c r="L16" i="3"/>
  <c r="L23" i="3"/>
  <c r="L35" i="3"/>
  <c r="L29" i="3"/>
  <c r="L15" i="3"/>
  <c r="L13" i="3"/>
  <c r="L11" i="3"/>
  <c r="L14" i="3"/>
  <c r="L12" i="3"/>
  <c r="L24" i="3"/>
  <c r="L18" i="3"/>
  <c r="L9" i="3"/>
  <c r="M7" i="3"/>
  <c r="K24" i="3"/>
  <c r="I25" i="3" l="1"/>
  <c r="F26" i="3"/>
  <c r="M26" i="3" s="1"/>
  <c r="K25" i="3"/>
  <c r="J25" i="3"/>
  <c r="L25" i="3"/>
  <c r="F20" i="3"/>
  <c r="M20" i="3" s="1"/>
  <c r="I19" i="3"/>
  <c r="K19" i="3"/>
  <c r="J19" i="3"/>
  <c r="I19" i="4"/>
  <c r="F20" i="4"/>
  <c r="K19" i="4"/>
  <c r="J19" i="4"/>
  <c r="M28" i="3"/>
  <c r="M24" i="3"/>
  <c r="M35" i="3"/>
  <c r="M16" i="3"/>
  <c r="M33" i="3"/>
  <c r="M18" i="3"/>
  <c r="M34" i="3"/>
  <c r="M19" i="3"/>
  <c r="M17" i="3"/>
  <c r="M23" i="3"/>
  <c r="M29" i="3"/>
  <c r="M15" i="3"/>
  <c r="M13" i="3"/>
  <c r="M11" i="3"/>
  <c r="M14" i="3"/>
  <c r="M25" i="3"/>
  <c r="M9" i="3"/>
  <c r="N7" i="3"/>
  <c r="M12" i="3"/>
  <c r="I25" i="4"/>
  <c r="F26" i="4"/>
  <c r="J25" i="4"/>
  <c r="K25" i="4"/>
  <c r="I28" i="3"/>
  <c r="J28" i="3"/>
  <c r="K28" i="3"/>
  <c r="M29" i="2"/>
  <c r="M19" i="2"/>
  <c r="M16" i="2"/>
  <c r="M21" i="2"/>
  <c r="M28" i="2"/>
  <c r="M26" i="2"/>
  <c r="M24" i="2"/>
  <c r="M18" i="2"/>
  <c r="M14" i="2"/>
  <c r="M12" i="2"/>
  <c r="M30" i="2"/>
  <c r="M22" i="2"/>
  <c r="M17" i="2"/>
  <c r="M27" i="2"/>
  <c r="M25" i="2"/>
  <c r="M9" i="2"/>
  <c r="N7" i="2"/>
  <c r="M13" i="2"/>
  <c r="M11" i="2"/>
  <c r="M20" i="2"/>
  <c r="M15" i="2"/>
  <c r="M29" i="4"/>
  <c r="M34" i="4"/>
  <c r="M28" i="4"/>
  <c r="M26" i="4"/>
  <c r="M20" i="4"/>
  <c r="M18" i="4"/>
  <c r="M35" i="4"/>
  <c r="M33" i="4"/>
  <c r="M16" i="4"/>
  <c r="M25" i="4"/>
  <c r="M24" i="4"/>
  <c r="M23" i="4"/>
  <c r="M19" i="4"/>
  <c r="M14" i="4"/>
  <c r="M13" i="4"/>
  <c r="M17" i="4"/>
  <c r="N7" i="4"/>
  <c r="M12" i="4"/>
  <c r="M15" i="4"/>
  <c r="M11" i="4"/>
  <c r="M9" i="4"/>
  <c r="L25" i="4"/>
  <c r="I28" i="4"/>
  <c r="J28" i="4"/>
  <c r="K28" i="4"/>
  <c r="I26" i="4" l="1"/>
  <c r="K26" i="4"/>
  <c r="J26" i="4"/>
  <c r="L26" i="4"/>
  <c r="I20" i="3"/>
  <c r="F21" i="3"/>
  <c r="N21" i="3" s="1"/>
  <c r="K20" i="3"/>
  <c r="J20" i="3"/>
  <c r="L20" i="3"/>
  <c r="I20" i="4"/>
  <c r="F21" i="4"/>
  <c r="K20" i="4"/>
  <c r="J20" i="4"/>
  <c r="L20" i="4"/>
  <c r="N30" i="2"/>
  <c r="N21" i="2"/>
  <c r="N28" i="2"/>
  <c r="N26" i="2"/>
  <c r="N24" i="2"/>
  <c r="N18" i="2"/>
  <c r="N14" i="2"/>
  <c r="N20" i="2"/>
  <c r="N15" i="2"/>
  <c r="N27" i="2"/>
  <c r="N25" i="2"/>
  <c r="N19" i="2"/>
  <c r="O7" i="2"/>
  <c r="N29" i="2"/>
  <c r="N17" i="2"/>
  <c r="N13" i="2"/>
  <c r="N12" i="2"/>
  <c r="N11" i="2"/>
  <c r="N16" i="2"/>
  <c r="N9" i="2"/>
  <c r="N22" i="2"/>
  <c r="N35" i="3"/>
  <c r="N16" i="3"/>
  <c r="N33" i="3"/>
  <c r="N20" i="3"/>
  <c r="N18" i="3"/>
  <c r="N29" i="3"/>
  <c r="N23" i="3"/>
  <c r="N15" i="3"/>
  <c r="N13" i="3"/>
  <c r="N11" i="3"/>
  <c r="N26" i="3"/>
  <c r="N24" i="3"/>
  <c r="N19" i="3"/>
  <c r="N9" i="3"/>
  <c r="N25" i="3"/>
  <c r="N17" i="3"/>
  <c r="N34" i="3"/>
  <c r="O7" i="3"/>
  <c r="N14" i="3"/>
  <c r="N12" i="3"/>
  <c r="N28" i="3"/>
  <c r="I26" i="3"/>
  <c r="K26" i="3"/>
  <c r="J26" i="3"/>
  <c r="L26" i="3"/>
  <c r="N33" i="4"/>
  <c r="N35" i="4"/>
  <c r="N29" i="4"/>
  <c r="N24" i="4"/>
  <c r="N34" i="4"/>
  <c r="N26" i="4"/>
  <c r="N28" i="4"/>
  <c r="N17" i="4"/>
  <c r="N14" i="4"/>
  <c r="N21" i="4"/>
  <c r="N23" i="4"/>
  <c r="N13" i="4"/>
  <c r="N11" i="4"/>
  <c r="N25" i="4"/>
  <c r="N15" i="4"/>
  <c r="N20" i="4"/>
  <c r="N18" i="4"/>
  <c r="N19" i="4"/>
  <c r="N16" i="4"/>
  <c r="N12" i="4"/>
  <c r="N9" i="4"/>
  <c r="O7" i="4"/>
  <c r="F22" i="3" l="1"/>
  <c r="O22" i="3" s="1"/>
  <c r="I21" i="3"/>
  <c r="F27" i="3"/>
  <c r="J21" i="3"/>
  <c r="K21" i="3"/>
  <c r="L21" i="3"/>
  <c r="M21" i="3"/>
  <c r="O34" i="3"/>
  <c r="O27" i="3"/>
  <c r="O33" i="3"/>
  <c r="O20" i="3"/>
  <c r="O18" i="3"/>
  <c r="O29" i="3"/>
  <c r="O23" i="3"/>
  <c r="O25" i="3"/>
  <c r="O24" i="3"/>
  <c r="O26" i="3"/>
  <c r="O35" i="3"/>
  <c r="O19" i="3"/>
  <c r="O16" i="3"/>
  <c r="O9" i="3"/>
  <c r="O28" i="3"/>
  <c r="O14" i="3"/>
  <c r="O12" i="3"/>
  <c r="P7" i="3"/>
  <c r="O21" i="3"/>
  <c r="O15" i="3"/>
  <c r="O13" i="3"/>
  <c r="O11" i="3"/>
  <c r="O17" i="3"/>
  <c r="F27" i="4"/>
  <c r="I21" i="4"/>
  <c r="F22" i="4"/>
  <c r="K21" i="4"/>
  <c r="J21" i="4"/>
  <c r="L21" i="4"/>
  <c r="M21" i="4"/>
  <c r="O28" i="4"/>
  <c r="O29" i="4"/>
  <c r="O26" i="4"/>
  <c r="O27" i="4"/>
  <c r="O15" i="4"/>
  <c r="O25" i="4"/>
  <c r="O34" i="4"/>
  <c r="O19" i="4"/>
  <c r="O18" i="4"/>
  <c r="O22" i="4"/>
  <c r="O35" i="4"/>
  <c r="O14" i="4"/>
  <c r="O23" i="4"/>
  <c r="O17" i="4"/>
  <c r="O12" i="4"/>
  <c r="O33" i="4"/>
  <c r="O16" i="4"/>
  <c r="O24" i="4"/>
  <c r="O9" i="4"/>
  <c r="P7" i="4"/>
  <c r="O21" i="4"/>
  <c r="O13" i="4"/>
  <c r="O20" i="4"/>
  <c r="O11" i="4"/>
  <c r="O28" i="2"/>
  <c r="O26" i="2"/>
  <c r="O24" i="2"/>
  <c r="O18" i="2"/>
  <c r="O14" i="2"/>
  <c r="O12" i="2"/>
  <c r="O20" i="2"/>
  <c r="O15" i="2"/>
  <c r="O29" i="2"/>
  <c r="O22" i="2"/>
  <c r="O17" i="2"/>
  <c r="O19" i="2"/>
  <c r="O16" i="2"/>
  <c r="O21" i="2"/>
  <c r="O25" i="2"/>
  <c r="O13" i="2"/>
  <c r="O11" i="2"/>
  <c r="O9" i="2"/>
  <c r="P7" i="2"/>
  <c r="O30" i="2"/>
  <c r="O27" i="2"/>
  <c r="P35" i="4" l="1"/>
  <c r="P34" i="4"/>
  <c r="P21" i="4"/>
  <c r="P19" i="4"/>
  <c r="P17" i="4"/>
  <c r="P28" i="4"/>
  <c r="P29" i="4"/>
  <c r="P27" i="4"/>
  <c r="P20" i="4"/>
  <c r="P33" i="4"/>
  <c r="P25" i="4"/>
  <c r="P24" i="4"/>
  <c r="P23" i="4"/>
  <c r="P9" i="4"/>
  <c r="P15" i="4"/>
  <c r="P12" i="4"/>
  <c r="P26" i="4"/>
  <c r="P13" i="4"/>
  <c r="P22" i="4"/>
  <c r="P14" i="4"/>
  <c r="P11" i="4"/>
  <c r="P18" i="4"/>
  <c r="P16" i="4"/>
  <c r="Q7" i="4"/>
  <c r="P6" i="4"/>
  <c r="P34" i="3"/>
  <c r="P27" i="3"/>
  <c r="P25" i="3"/>
  <c r="P23" i="3"/>
  <c r="P29" i="3"/>
  <c r="P24" i="3"/>
  <c r="P35" i="3"/>
  <c r="P28" i="3"/>
  <c r="P26" i="3"/>
  <c r="P21" i="3"/>
  <c r="P19" i="3"/>
  <c r="P17" i="3"/>
  <c r="P33" i="3"/>
  <c r="P22" i="3"/>
  <c r="P20" i="3"/>
  <c r="P18" i="3"/>
  <c r="P16" i="3"/>
  <c r="P9" i="3"/>
  <c r="P14" i="3"/>
  <c r="P12" i="3"/>
  <c r="P15" i="3"/>
  <c r="P13" i="3"/>
  <c r="Q7" i="3"/>
  <c r="P6" i="3"/>
  <c r="P11" i="3"/>
  <c r="P30" i="2"/>
  <c r="P20" i="2"/>
  <c r="P15" i="2"/>
  <c r="P29" i="2"/>
  <c r="P22" i="2"/>
  <c r="P17" i="2"/>
  <c r="P27" i="2"/>
  <c r="P25" i="2"/>
  <c r="P13" i="2"/>
  <c r="P21" i="2"/>
  <c r="P28" i="2"/>
  <c r="P26" i="2"/>
  <c r="P24" i="2"/>
  <c r="P18" i="2"/>
  <c r="P6" i="2"/>
  <c r="Q7" i="2"/>
  <c r="P16" i="2"/>
  <c r="P11" i="2"/>
  <c r="P9" i="2"/>
  <c r="P14" i="2"/>
  <c r="P12" i="2"/>
  <c r="P19" i="2"/>
  <c r="F30" i="3"/>
  <c r="P30" i="3" s="1"/>
  <c r="I27" i="3"/>
  <c r="J27" i="3"/>
  <c r="K27" i="3"/>
  <c r="L27" i="3"/>
  <c r="M27" i="3"/>
  <c r="N27" i="3"/>
  <c r="F30" i="4"/>
  <c r="P30" i="4" s="1"/>
  <c r="I27" i="4"/>
  <c r="K27" i="4"/>
  <c r="J27" i="4"/>
  <c r="L27" i="4"/>
  <c r="M27" i="4"/>
  <c r="N27" i="4"/>
  <c r="I22" i="4"/>
  <c r="K22" i="4"/>
  <c r="J22" i="4"/>
  <c r="L22" i="4"/>
  <c r="M22" i="4"/>
  <c r="N22" i="4"/>
  <c r="I22" i="3"/>
  <c r="K22" i="3"/>
  <c r="J22" i="3"/>
  <c r="L22" i="3"/>
  <c r="M22" i="3"/>
  <c r="N22" i="3"/>
  <c r="Q29" i="2" l="1"/>
  <c r="Q22" i="2"/>
  <c r="Q17" i="2"/>
  <c r="Q27" i="2"/>
  <c r="Q25" i="2"/>
  <c r="Q30" i="2"/>
  <c r="Q19" i="2"/>
  <c r="Q16" i="2"/>
  <c r="Q28" i="2"/>
  <c r="Q26" i="2"/>
  <c r="Q24" i="2"/>
  <c r="Q18" i="2"/>
  <c r="Q20" i="2"/>
  <c r="Q21" i="2"/>
  <c r="Q11" i="2"/>
  <c r="Q14" i="2"/>
  <c r="Q12" i="2"/>
  <c r="Q9" i="2"/>
  <c r="Q15" i="2"/>
  <c r="Q13" i="2"/>
  <c r="R7" i="2"/>
  <c r="Q35" i="4"/>
  <c r="Q25" i="4"/>
  <c r="Q23" i="4"/>
  <c r="Q33" i="4"/>
  <c r="Q34" i="4"/>
  <c r="Q31" i="4"/>
  <c r="Q26" i="4"/>
  <c r="Q22" i="4"/>
  <c r="Q21" i="4"/>
  <c r="Q13" i="4"/>
  <c r="Q30" i="4"/>
  <c r="Q29" i="4"/>
  <c r="Q28" i="4"/>
  <c r="Q20" i="4"/>
  <c r="Q19" i="4"/>
  <c r="Q17" i="4"/>
  <c r="Q15" i="4"/>
  <c r="Q12" i="4"/>
  <c r="R7" i="4"/>
  <c r="Q27" i="4"/>
  <c r="Q18" i="4"/>
  <c r="Q16" i="4"/>
  <c r="Q24" i="4"/>
  <c r="Q14" i="4"/>
  <c r="Q11" i="4"/>
  <c r="Q9" i="4"/>
  <c r="I30" i="4"/>
  <c r="F31" i="4"/>
  <c r="J30" i="4"/>
  <c r="K30" i="4"/>
  <c r="L30" i="4"/>
  <c r="M30" i="4"/>
  <c r="N30" i="4"/>
  <c r="O30" i="4"/>
  <c r="Q29" i="3"/>
  <c r="Q33" i="3"/>
  <c r="Q24" i="3"/>
  <c r="Q23" i="3"/>
  <c r="Q35" i="3"/>
  <c r="Q28" i="3"/>
  <c r="Q26" i="3"/>
  <c r="Q25" i="3"/>
  <c r="Q21" i="3"/>
  <c r="Q19" i="3"/>
  <c r="Q17" i="3"/>
  <c r="Q30" i="3"/>
  <c r="Q20" i="3"/>
  <c r="Q14" i="3"/>
  <c r="Q12" i="3"/>
  <c r="R7" i="3"/>
  <c r="Q34" i="3"/>
  <c r="Q18" i="3"/>
  <c r="Q22" i="3"/>
  <c r="Q16" i="3"/>
  <c r="Q9" i="3"/>
  <c r="Q11" i="3"/>
  <c r="Q15" i="3"/>
  <c r="Q27" i="3"/>
  <c r="Q13" i="3"/>
  <c r="F31" i="3"/>
  <c r="Q31" i="3" s="1"/>
  <c r="I30" i="3"/>
  <c r="J30" i="3"/>
  <c r="K30" i="3"/>
  <c r="L30" i="3"/>
  <c r="M30" i="3"/>
  <c r="N30" i="3"/>
  <c r="O30" i="3"/>
  <c r="R34" i="4" l="1"/>
  <c r="R27" i="4"/>
  <c r="R33" i="4"/>
  <c r="R30" i="4"/>
  <c r="R28" i="4"/>
  <c r="R16" i="4"/>
  <c r="R31" i="4"/>
  <c r="R26" i="4"/>
  <c r="R24" i="4"/>
  <c r="R25" i="4"/>
  <c r="R22" i="4"/>
  <c r="R21" i="4"/>
  <c r="R23" i="4"/>
  <c r="R35" i="4"/>
  <c r="R29" i="4"/>
  <c r="R18" i="4"/>
  <c r="R20" i="4"/>
  <c r="R19" i="4"/>
  <c r="R17" i="4"/>
  <c r="R15" i="4"/>
  <c r="R14" i="4"/>
  <c r="R13" i="4"/>
  <c r="R9" i="4"/>
  <c r="R12" i="4"/>
  <c r="R11" i="4"/>
  <c r="S7" i="4"/>
  <c r="R27" i="2"/>
  <c r="R25" i="2"/>
  <c r="R13" i="2"/>
  <c r="R30" i="2"/>
  <c r="R19" i="2"/>
  <c r="R16" i="2"/>
  <c r="R21" i="2"/>
  <c r="R20" i="2"/>
  <c r="R29" i="2"/>
  <c r="R22" i="2"/>
  <c r="R17" i="2"/>
  <c r="R14" i="2"/>
  <c r="R12" i="2"/>
  <c r="R9" i="2"/>
  <c r="R26" i="2"/>
  <c r="R15" i="2"/>
  <c r="R18" i="2"/>
  <c r="S7" i="2"/>
  <c r="R28" i="2"/>
  <c r="R24" i="2"/>
  <c r="R11" i="2"/>
  <c r="F32" i="3"/>
  <c r="R32" i="3" s="1"/>
  <c r="I31" i="3"/>
  <c r="J31" i="3"/>
  <c r="K31" i="3"/>
  <c r="L31" i="3"/>
  <c r="M31" i="3"/>
  <c r="N31" i="3"/>
  <c r="O31" i="3"/>
  <c r="P31" i="3"/>
  <c r="R33" i="3"/>
  <c r="R22" i="3"/>
  <c r="R28" i="3"/>
  <c r="R35" i="3"/>
  <c r="R29" i="3"/>
  <c r="R26" i="3"/>
  <c r="R25" i="3"/>
  <c r="R21" i="3"/>
  <c r="R19" i="3"/>
  <c r="R17" i="3"/>
  <c r="R34" i="3"/>
  <c r="R31" i="3"/>
  <c r="R16" i="3"/>
  <c r="R24" i="3"/>
  <c r="R23" i="3"/>
  <c r="R18" i="3"/>
  <c r="R27" i="3"/>
  <c r="R15" i="3"/>
  <c r="R13" i="3"/>
  <c r="R11" i="3"/>
  <c r="R30" i="3"/>
  <c r="R20" i="3"/>
  <c r="R14" i="3"/>
  <c r="R12" i="3"/>
  <c r="R9" i="3"/>
  <c r="S7" i="3"/>
  <c r="I31" i="4"/>
  <c r="F32" i="4"/>
  <c r="R32" i="4" s="1"/>
  <c r="K31" i="4"/>
  <c r="J31" i="4"/>
  <c r="L31" i="4"/>
  <c r="M31" i="4"/>
  <c r="N31" i="4"/>
  <c r="O31" i="4"/>
  <c r="P31" i="4"/>
  <c r="S28" i="3" l="1"/>
  <c r="S26" i="3"/>
  <c r="S24" i="3"/>
  <c r="S35" i="3"/>
  <c r="S32" i="3"/>
  <c r="S30" i="3"/>
  <c r="S34" i="3"/>
  <c r="S31" i="3"/>
  <c r="S16" i="3"/>
  <c r="S27" i="3"/>
  <c r="S20" i="3"/>
  <c r="S18" i="3"/>
  <c r="S29" i="3"/>
  <c r="S25" i="3"/>
  <c r="S21" i="3"/>
  <c r="S19" i="3"/>
  <c r="S17" i="3"/>
  <c r="S15" i="3"/>
  <c r="S13" i="3"/>
  <c r="S11" i="3"/>
  <c r="S33" i="3"/>
  <c r="S14" i="3"/>
  <c r="S23" i="3"/>
  <c r="S22" i="3"/>
  <c r="S12" i="3"/>
  <c r="S9" i="3"/>
  <c r="T7" i="3"/>
  <c r="S29" i="2"/>
  <c r="S30" i="2"/>
  <c r="S19" i="2"/>
  <c r="S16" i="2"/>
  <c r="S21" i="2"/>
  <c r="S28" i="2"/>
  <c r="S26" i="2"/>
  <c r="S24" i="2"/>
  <c r="S18" i="2"/>
  <c r="S12" i="2"/>
  <c r="S22" i="2"/>
  <c r="S17" i="2"/>
  <c r="S27" i="2"/>
  <c r="S25" i="2"/>
  <c r="S9" i="2"/>
  <c r="T7" i="2"/>
  <c r="S15" i="2"/>
  <c r="S20" i="2"/>
  <c r="S13" i="2"/>
  <c r="S11" i="2"/>
  <c r="S31" i="4"/>
  <c r="S29" i="4"/>
  <c r="S22" i="4"/>
  <c r="S20" i="4"/>
  <c r="S18" i="4"/>
  <c r="S35" i="4"/>
  <c r="S30" i="4"/>
  <c r="S28" i="4"/>
  <c r="S27" i="4"/>
  <c r="S24" i="4"/>
  <c r="S23" i="4"/>
  <c r="S15" i="4"/>
  <c r="S32" i="4"/>
  <c r="S21" i="4"/>
  <c r="S34" i="4"/>
  <c r="S26" i="4"/>
  <c r="S25" i="4"/>
  <c r="S16" i="4"/>
  <c r="S14" i="4"/>
  <c r="S13" i="4"/>
  <c r="S17" i="4"/>
  <c r="T7" i="4"/>
  <c r="S33" i="4"/>
  <c r="S19" i="4"/>
  <c r="S12" i="4"/>
  <c r="S11" i="4"/>
  <c r="S9" i="4"/>
  <c r="I32" i="4"/>
  <c r="J32" i="4"/>
  <c r="K32" i="4"/>
  <c r="L32" i="4"/>
  <c r="M32" i="4"/>
  <c r="N32" i="4"/>
  <c r="O32" i="4"/>
  <c r="P32" i="4"/>
  <c r="Q32" i="4"/>
  <c r="I32" i="3"/>
  <c r="J32" i="3"/>
  <c r="K32" i="3"/>
  <c r="L32" i="3"/>
  <c r="M32" i="3"/>
  <c r="N32" i="3"/>
  <c r="O32" i="3"/>
  <c r="P32" i="3"/>
  <c r="Q32" i="3"/>
  <c r="T33" i="4" l="1"/>
  <c r="T34" i="4"/>
  <c r="T28" i="4"/>
  <c r="T27" i="4"/>
  <c r="T26" i="4"/>
  <c r="T24" i="4"/>
  <c r="T29" i="4"/>
  <c r="T25" i="4"/>
  <c r="T16" i="4"/>
  <c r="T14" i="4"/>
  <c r="T35" i="4"/>
  <c r="T22" i="4"/>
  <c r="T31" i="4"/>
  <c r="T23" i="4"/>
  <c r="T30" i="4"/>
  <c r="T18" i="4"/>
  <c r="T11" i="4"/>
  <c r="T20" i="4"/>
  <c r="T13" i="4"/>
  <c r="T21" i="4"/>
  <c r="T19" i="4"/>
  <c r="T15" i="4"/>
  <c r="T32" i="4"/>
  <c r="U7" i="4"/>
  <c r="T17" i="4"/>
  <c r="T12" i="4"/>
  <c r="T9" i="4"/>
  <c r="T35" i="3"/>
  <c r="T32" i="3"/>
  <c r="T30" i="3"/>
  <c r="T34" i="3"/>
  <c r="T31" i="3"/>
  <c r="T28" i="3"/>
  <c r="T16" i="3"/>
  <c r="T27" i="3"/>
  <c r="T20" i="3"/>
  <c r="T18" i="3"/>
  <c r="T22" i="3"/>
  <c r="T26" i="3"/>
  <c r="T29" i="3"/>
  <c r="T19" i="3"/>
  <c r="T15" i="3"/>
  <c r="T13" i="3"/>
  <c r="T11" i="3"/>
  <c r="T24" i="3"/>
  <c r="T17" i="3"/>
  <c r="T9" i="3"/>
  <c r="T23" i="3"/>
  <c r="T21" i="3"/>
  <c r="T12" i="3"/>
  <c r="T14" i="3"/>
  <c r="T25" i="3"/>
  <c r="T33" i="3"/>
  <c r="U7" i="3"/>
  <c r="T30" i="2"/>
  <c r="T21" i="2"/>
  <c r="T28" i="2"/>
  <c r="T26" i="2"/>
  <c r="T24" i="2"/>
  <c r="T18" i="2"/>
  <c r="T20" i="2"/>
  <c r="T15" i="2"/>
  <c r="T14" i="2"/>
  <c r="T29" i="2"/>
  <c r="T27" i="2"/>
  <c r="T25" i="2"/>
  <c r="T19" i="2"/>
  <c r="T16" i="2"/>
  <c r="U7" i="2"/>
  <c r="T13" i="2"/>
  <c r="T11" i="2"/>
  <c r="T22" i="2"/>
  <c r="T17" i="2"/>
  <c r="T12" i="2"/>
  <c r="T9" i="2"/>
  <c r="U28" i="4" l="1"/>
  <c r="U35" i="4"/>
  <c r="U26" i="4"/>
  <c r="U33" i="4"/>
  <c r="U31" i="4"/>
  <c r="U15" i="4"/>
  <c r="U32" i="4"/>
  <c r="U27" i="4"/>
  <c r="U25" i="4"/>
  <c r="U30" i="4"/>
  <c r="U17" i="4"/>
  <c r="U29" i="4"/>
  <c r="U21" i="4"/>
  <c r="U34" i="4"/>
  <c r="U23" i="4"/>
  <c r="U24" i="4"/>
  <c r="U20" i="4"/>
  <c r="U16" i="4"/>
  <c r="U13" i="4"/>
  <c r="U19" i="4"/>
  <c r="U14" i="4"/>
  <c r="U12" i="4"/>
  <c r="U22" i="4"/>
  <c r="U18" i="4"/>
  <c r="U9" i="4"/>
  <c r="V7" i="4"/>
  <c r="U11" i="4"/>
  <c r="U34" i="3"/>
  <c r="U27" i="3"/>
  <c r="U20" i="3"/>
  <c r="U18" i="3"/>
  <c r="U22" i="3"/>
  <c r="U33" i="3"/>
  <c r="U30" i="3"/>
  <c r="U23" i="3"/>
  <c r="U35" i="3"/>
  <c r="U31" i="3"/>
  <c r="U28" i="3"/>
  <c r="U24" i="3"/>
  <c r="U17" i="3"/>
  <c r="U9" i="3"/>
  <c r="U25" i="3"/>
  <c r="U14" i="3"/>
  <c r="U12" i="3"/>
  <c r="V7" i="3"/>
  <c r="U32" i="3"/>
  <c r="U16" i="3"/>
  <c r="U29" i="3"/>
  <c r="U26" i="3"/>
  <c r="U19" i="3"/>
  <c r="U15" i="3"/>
  <c r="U13" i="3"/>
  <c r="U11" i="3"/>
  <c r="U21" i="3"/>
  <c r="U28" i="2"/>
  <c r="U26" i="2"/>
  <c r="U24" i="2"/>
  <c r="U18" i="2"/>
  <c r="U12" i="2"/>
  <c r="U20" i="2"/>
  <c r="U15" i="2"/>
  <c r="U14" i="2"/>
  <c r="U22" i="2"/>
  <c r="U17" i="2"/>
  <c r="U19" i="2"/>
  <c r="U16" i="2"/>
  <c r="U30" i="2"/>
  <c r="U21" i="2"/>
  <c r="U29" i="2"/>
  <c r="U27" i="2"/>
  <c r="U13" i="2"/>
  <c r="U11" i="2"/>
  <c r="U9" i="2"/>
  <c r="U25" i="2"/>
  <c r="V7" i="2"/>
  <c r="V30" i="2" l="1"/>
  <c r="V20" i="2"/>
  <c r="V15" i="2"/>
  <c r="V22" i="2"/>
  <c r="V17" i="2"/>
  <c r="V29" i="2"/>
  <c r="V27" i="2"/>
  <c r="V25" i="2"/>
  <c r="V13" i="2"/>
  <c r="V21" i="2"/>
  <c r="V28" i="2"/>
  <c r="V26" i="2"/>
  <c r="V24" i="2"/>
  <c r="V18" i="2"/>
  <c r="V11" i="2"/>
  <c r="V9" i="2"/>
  <c r="V12" i="2"/>
  <c r="V16" i="2"/>
  <c r="V19" i="2"/>
  <c r="W7" i="2"/>
  <c r="V34" i="3"/>
  <c r="V27" i="3"/>
  <c r="V25" i="3"/>
  <c r="V23" i="3"/>
  <c r="V31" i="3"/>
  <c r="V29" i="3"/>
  <c r="V22" i="3"/>
  <c r="V33" i="3"/>
  <c r="V30" i="3"/>
  <c r="V24" i="3"/>
  <c r="V21" i="3"/>
  <c r="V19" i="3"/>
  <c r="V17" i="3"/>
  <c r="V20" i="3"/>
  <c r="V18" i="3"/>
  <c r="V35" i="3"/>
  <c r="V9" i="3"/>
  <c r="V28" i="3"/>
  <c r="V14" i="3"/>
  <c r="V12" i="3"/>
  <c r="V26" i="3"/>
  <c r="V15" i="3"/>
  <c r="V13" i="3"/>
  <c r="V32" i="3"/>
  <c r="V11" i="3"/>
  <c r="W7" i="3"/>
  <c r="V16" i="3"/>
  <c r="V35" i="4"/>
  <c r="V32" i="4"/>
  <c r="V30" i="4"/>
  <c r="V29" i="4"/>
  <c r="V21" i="4"/>
  <c r="V19" i="4"/>
  <c r="V17" i="4"/>
  <c r="V34" i="4"/>
  <c r="V33" i="4"/>
  <c r="V31" i="4"/>
  <c r="V26" i="4"/>
  <c r="V18" i="4"/>
  <c r="V22" i="4"/>
  <c r="V28" i="4"/>
  <c r="V24" i="4"/>
  <c r="V27" i="4"/>
  <c r="V25" i="4"/>
  <c r="V14" i="4"/>
  <c r="V9" i="4"/>
  <c r="V12" i="4"/>
  <c r="V23" i="4"/>
  <c r="V20" i="4"/>
  <c r="V16" i="4"/>
  <c r="V15" i="4"/>
  <c r="W7" i="4"/>
  <c r="V13" i="4"/>
  <c r="V11" i="4"/>
  <c r="W31" i="4" l="1"/>
  <c r="W30" i="4"/>
  <c r="W35" i="4"/>
  <c r="W29" i="4"/>
  <c r="W27" i="4"/>
  <c r="W25" i="4"/>
  <c r="W23" i="4"/>
  <c r="W33" i="4"/>
  <c r="W20" i="4"/>
  <c r="W19" i="4"/>
  <c r="W13" i="4"/>
  <c r="W32" i="4"/>
  <c r="W26" i="4"/>
  <c r="W12" i="4"/>
  <c r="X7" i="4"/>
  <c r="W28" i="4"/>
  <c r="W21" i="4"/>
  <c r="W34" i="4"/>
  <c r="W17" i="4"/>
  <c r="W15" i="4"/>
  <c r="W18" i="4"/>
  <c r="W16" i="4"/>
  <c r="W14" i="4"/>
  <c r="W9" i="4"/>
  <c r="W11" i="4"/>
  <c r="W22" i="4"/>
  <c r="W6" i="4"/>
  <c r="W24" i="4"/>
  <c r="W31" i="3"/>
  <c r="W29" i="3"/>
  <c r="W33" i="3"/>
  <c r="W30" i="3"/>
  <c r="W27" i="3"/>
  <c r="W24" i="3"/>
  <c r="W23" i="3"/>
  <c r="W21" i="3"/>
  <c r="W19" i="3"/>
  <c r="W17" i="3"/>
  <c r="W32" i="3"/>
  <c r="W26" i="3"/>
  <c r="W25" i="3"/>
  <c r="W34" i="3"/>
  <c r="W22" i="3"/>
  <c r="W28" i="3"/>
  <c r="W18" i="3"/>
  <c r="W14" i="3"/>
  <c r="W12" i="3"/>
  <c r="X7" i="3"/>
  <c r="W16" i="3"/>
  <c r="W6" i="3"/>
  <c r="W20" i="3"/>
  <c r="W35" i="3"/>
  <c r="W11" i="3"/>
  <c r="W13" i="3"/>
  <c r="W15" i="3"/>
  <c r="W9" i="3"/>
  <c r="W22" i="2"/>
  <c r="W17" i="2"/>
  <c r="W29" i="2"/>
  <c r="W27" i="2"/>
  <c r="W25" i="2"/>
  <c r="W19" i="2"/>
  <c r="W16" i="2"/>
  <c r="W30" i="2"/>
  <c r="W28" i="2"/>
  <c r="W26" i="2"/>
  <c r="W24" i="2"/>
  <c r="W18" i="2"/>
  <c r="W20" i="2"/>
  <c r="W11" i="2"/>
  <c r="W15" i="2"/>
  <c r="W13" i="2"/>
  <c r="W12" i="2"/>
  <c r="W9" i="2"/>
  <c r="W21" i="2"/>
  <c r="W6" i="2"/>
  <c r="X7" i="2"/>
  <c r="X29" i="2" l="1"/>
  <c r="X27" i="2"/>
  <c r="X25" i="2"/>
  <c r="X14" i="2"/>
  <c r="X13" i="2"/>
  <c r="X19" i="2"/>
  <c r="X16" i="2"/>
  <c r="X21" i="2"/>
  <c r="X20" i="2"/>
  <c r="X22" i="2"/>
  <c r="X26" i="2"/>
  <c r="X15" i="2"/>
  <c r="X18" i="2"/>
  <c r="X9" i="2"/>
  <c r="X28" i="2"/>
  <c r="X30" i="2"/>
  <c r="X12" i="2"/>
  <c r="Y7" i="2"/>
  <c r="X17" i="2"/>
  <c r="X11" i="2"/>
  <c r="X24" i="2"/>
  <c r="X34" i="4"/>
  <c r="X27" i="4"/>
  <c r="X32" i="4"/>
  <c r="X35" i="4"/>
  <c r="X16" i="4"/>
  <c r="X30" i="4"/>
  <c r="X28" i="4"/>
  <c r="X24" i="4"/>
  <c r="X29" i="4"/>
  <c r="X25" i="4"/>
  <c r="X22" i="4"/>
  <c r="X21" i="4"/>
  <c r="X23" i="4"/>
  <c r="X31" i="4"/>
  <c r="X33" i="4"/>
  <c r="X20" i="4"/>
  <c r="X19" i="4"/>
  <c r="X17" i="4"/>
  <c r="X15" i="4"/>
  <c r="X14" i="4"/>
  <c r="X13" i="4"/>
  <c r="X26" i="4"/>
  <c r="X11" i="4"/>
  <c r="X18" i="4"/>
  <c r="X9" i="4"/>
  <c r="Y7" i="4"/>
  <c r="X12" i="4"/>
  <c r="X33" i="3"/>
  <c r="X22" i="3"/>
  <c r="X28" i="3"/>
  <c r="X24" i="3"/>
  <c r="X23" i="3"/>
  <c r="X21" i="3"/>
  <c r="X19" i="3"/>
  <c r="X17" i="3"/>
  <c r="X32" i="3"/>
  <c r="X26" i="3"/>
  <c r="X25" i="3"/>
  <c r="X35" i="3"/>
  <c r="X29" i="3"/>
  <c r="X16" i="3"/>
  <c r="X30" i="3"/>
  <c r="X27" i="3"/>
  <c r="X34" i="3"/>
  <c r="X15" i="3"/>
  <c r="X13" i="3"/>
  <c r="X11" i="3"/>
  <c r="X31" i="3"/>
  <c r="X18" i="3"/>
  <c r="X14" i="3"/>
  <c r="X12" i="3"/>
  <c r="X20" i="3"/>
  <c r="Y7" i="3"/>
  <c r="X9" i="3"/>
  <c r="Y28" i="3" l="1"/>
  <c r="Y26" i="3"/>
  <c r="Y24" i="3"/>
  <c r="Y35" i="3"/>
  <c r="Y32" i="3"/>
  <c r="Y30" i="3"/>
  <c r="Y33" i="3"/>
  <c r="Y25" i="3"/>
  <c r="Y29" i="3"/>
  <c r="Y16" i="3"/>
  <c r="Y20" i="3"/>
  <c r="Y18" i="3"/>
  <c r="Y23" i="3"/>
  <c r="Y21" i="3"/>
  <c r="Y19" i="3"/>
  <c r="Y17" i="3"/>
  <c r="Y34" i="3"/>
  <c r="Y27" i="3"/>
  <c r="Y15" i="3"/>
  <c r="Y13" i="3"/>
  <c r="Y11" i="3"/>
  <c r="Y22" i="3"/>
  <c r="Y14" i="3"/>
  <c r="Z7" i="3"/>
  <c r="Y9" i="3"/>
  <c r="Y31" i="3"/>
  <c r="Y12" i="3"/>
  <c r="Y29" i="2"/>
  <c r="Y19" i="2"/>
  <c r="Y16" i="2"/>
  <c r="Y21" i="2"/>
  <c r="Y30" i="2"/>
  <c r="Y28" i="2"/>
  <c r="Y26" i="2"/>
  <c r="Y24" i="2"/>
  <c r="Y18" i="2"/>
  <c r="Y12" i="2"/>
  <c r="Y22" i="2"/>
  <c r="Y17" i="2"/>
  <c r="Y27" i="2"/>
  <c r="Y25" i="2"/>
  <c r="Y13" i="2"/>
  <c r="Y9" i="2"/>
  <c r="Z7" i="2"/>
  <c r="Y11" i="2"/>
  <c r="Y15" i="2"/>
  <c r="Y14" i="2"/>
  <c r="Y20" i="2"/>
  <c r="Y31" i="4"/>
  <c r="Y29" i="4"/>
  <c r="Y33" i="4"/>
  <c r="Y34" i="4"/>
  <c r="Y32" i="4"/>
  <c r="Y22" i="4"/>
  <c r="Y20" i="4"/>
  <c r="Y18" i="4"/>
  <c r="Y26" i="4"/>
  <c r="Y35" i="4"/>
  <c r="Y27" i="4"/>
  <c r="Y28" i="4"/>
  <c r="Y24" i="4"/>
  <c r="Y25" i="4"/>
  <c r="Y30" i="4"/>
  <c r="Y21" i="4"/>
  <c r="Y19" i="4"/>
  <c r="Y17" i="4"/>
  <c r="Y15" i="4"/>
  <c r="Y23" i="4"/>
  <c r="Y12" i="4"/>
  <c r="Y13" i="4"/>
  <c r="Y9" i="4"/>
  <c r="Y14" i="4"/>
  <c r="Y11" i="4"/>
  <c r="Y16" i="4"/>
  <c r="Z7" i="4"/>
  <c r="Z35" i="3" l="1"/>
  <c r="Z32" i="3"/>
  <c r="Z30" i="3"/>
  <c r="Z29" i="3"/>
  <c r="Z26" i="3"/>
  <c r="Z16" i="3"/>
  <c r="Z20" i="3"/>
  <c r="Z18" i="3"/>
  <c r="Z34" i="3"/>
  <c r="Z31" i="3"/>
  <c r="Z28" i="3"/>
  <c r="Z33" i="3"/>
  <c r="Z25" i="3"/>
  <c r="Z24" i="3"/>
  <c r="Z27" i="3"/>
  <c r="Z17" i="3"/>
  <c r="Z15" i="3"/>
  <c r="Z13" i="3"/>
  <c r="Z11" i="3"/>
  <c r="Z22" i="3"/>
  <c r="Z21" i="3"/>
  <c r="Z9" i="3"/>
  <c r="Z19" i="3"/>
  <c r="Z14" i="3"/>
  <c r="Z12" i="3"/>
  <c r="AA7" i="3"/>
  <c r="Z23" i="3"/>
  <c r="Z33" i="4"/>
  <c r="Z30" i="4"/>
  <c r="Z28" i="4"/>
  <c r="Z24" i="4"/>
  <c r="Z34" i="4"/>
  <c r="Z32" i="4"/>
  <c r="Z23" i="4"/>
  <c r="Z15" i="4"/>
  <c r="Z14" i="4"/>
  <c r="Z26" i="4"/>
  <c r="Z27" i="4"/>
  <c r="Z21" i="4"/>
  <c r="Z22" i="4"/>
  <c r="Z35" i="4"/>
  <c r="Z29" i="4"/>
  <c r="Z11" i="4"/>
  <c r="Z18" i="4"/>
  <c r="Z16" i="4"/>
  <c r="Z13" i="4"/>
  <c r="Z20" i="4"/>
  <c r="Z31" i="4"/>
  <c r="Z25" i="4"/>
  <c r="Z19" i="4"/>
  <c r="Z17" i="4"/>
  <c r="Z12" i="4"/>
  <c r="AA7" i="4"/>
  <c r="Z9" i="4"/>
  <c r="Z30" i="2"/>
  <c r="Z21" i="2"/>
  <c r="Z28" i="2"/>
  <c r="Z26" i="2"/>
  <c r="Z24" i="2"/>
  <c r="Z18" i="2"/>
  <c r="Z20" i="2"/>
  <c r="Z15" i="2"/>
  <c r="Z27" i="2"/>
  <c r="Z25" i="2"/>
  <c r="Z29" i="2"/>
  <c r="Z19" i="2"/>
  <c r="AA7" i="2"/>
  <c r="Z22" i="2"/>
  <c r="Z12" i="2"/>
  <c r="Z11" i="2"/>
  <c r="Z14" i="2"/>
  <c r="Z13" i="2"/>
  <c r="Z9" i="2"/>
  <c r="Z17" i="2"/>
  <c r="AA28" i="4" l="1"/>
  <c r="AA34" i="4"/>
  <c r="AA27" i="4"/>
  <c r="AA26" i="4"/>
  <c r="AA15" i="4"/>
  <c r="AA33" i="4"/>
  <c r="AA31" i="4"/>
  <c r="AA25" i="4"/>
  <c r="AA30" i="4"/>
  <c r="AA24" i="4"/>
  <c r="AA35" i="4"/>
  <c r="AA29" i="4"/>
  <c r="AA16" i="4"/>
  <c r="AA22" i="4"/>
  <c r="AA23" i="4"/>
  <c r="AA21" i="4"/>
  <c r="AA18" i="4"/>
  <c r="AA13" i="4"/>
  <c r="AA14" i="4"/>
  <c r="AA12" i="4"/>
  <c r="AA32" i="4"/>
  <c r="AA19" i="4"/>
  <c r="AA17" i="4"/>
  <c r="AB7" i="4"/>
  <c r="AA20" i="4"/>
  <c r="AA11" i="4"/>
  <c r="AA9" i="4"/>
  <c r="AA35" i="3"/>
  <c r="AA34" i="3"/>
  <c r="AA27" i="3"/>
  <c r="AA32" i="3"/>
  <c r="AA20" i="3"/>
  <c r="AA18" i="3"/>
  <c r="AA31" i="3"/>
  <c r="AA28" i="3"/>
  <c r="AA22" i="3"/>
  <c r="AA29" i="3"/>
  <c r="AA26" i="3"/>
  <c r="AA25" i="3"/>
  <c r="AA21" i="3"/>
  <c r="AA16" i="3"/>
  <c r="AA9" i="3"/>
  <c r="AA33" i="3"/>
  <c r="AA23" i="3"/>
  <c r="AA14" i="3"/>
  <c r="AA12" i="3"/>
  <c r="AB7" i="3"/>
  <c r="AA30" i="3"/>
  <c r="AA24" i="3"/>
  <c r="AA17" i="3"/>
  <c r="AA15" i="3"/>
  <c r="AA13" i="3"/>
  <c r="AA11" i="3"/>
  <c r="AA19" i="3"/>
  <c r="AA28" i="2"/>
  <c r="AA26" i="2"/>
  <c r="AA24" i="2"/>
  <c r="AA18" i="2"/>
  <c r="AA12" i="2"/>
  <c r="AA30" i="2"/>
  <c r="AA20" i="2"/>
  <c r="AA15" i="2"/>
  <c r="AA22" i="2"/>
  <c r="AA17" i="2"/>
  <c r="AA29" i="2"/>
  <c r="AA19" i="2"/>
  <c r="AA21" i="2"/>
  <c r="AA27" i="2"/>
  <c r="AA14" i="2"/>
  <c r="AA11" i="2"/>
  <c r="AA25" i="2"/>
  <c r="AA16" i="2"/>
  <c r="AA13" i="2"/>
  <c r="AA9" i="2"/>
  <c r="AB7" i="2"/>
  <c r="AB34" i="3" l="1"/>
  <c r="AB27" i="3"/>
  <c r="AB25" i="3"/>
  <c r="AB23" i="3"/>
  <c r="AB31" i="3"/>
  <c r="AB29" i="3"/>
  <c r="AB28" i="3"/>
  <c r="AB35" i="3"/>
  <c r="AB22" i="3"/>
  <c r="AB15" i="3"/>
  <c r="AB21" i="3"/>
  <c r="AB19" i="3"/>
  <c r="AB17" i="3"/>
  <c r="AB32" i="3"/>
  <c r="AB20" i="3"/>
  <c r="AB18" i="3"/>
  <c r="AB16" i="3"/>
  <c r="AB9" i="3"/>
  <c r="AB33" i="3"/>
  <c r="AB14" i="3"/>
  <c r="AB12" i="3"/>
  <c r="AB24" i="3"/>
  <c r="AB13" i="3"/>
  <c r="AB26" i="3"/>
  <c r="AB30" i="3"/>
  <c r="AC7" i="3"/>
  <c r="AB11" i="3"/>
  <c r="AB35" i="4"/>
  <c r="AB32" i="4"/>
  <c r="AB30" i="4"/>
  <c r="AB28" i="4"/>
  <c r="AB26" i="4"/>
  <c r="AB21" i="4"/>
  <c r="AB19" i="4"/>
  <c r="AB17" i="4"/>
  <c r="AB29" i="4"/>
  <c r="AB34" i="4"/>
  <c r="AB31" i="4"/>
  <c r="AB25" i="4"/>
  <c r="AB33" i="4"/>
  <c r="AB23" i="4"/>
  <c r="AB18" i="4"/>
  <c r="AB13" i="4"/>
  <c r="AB9" i="4"/>
  <c r="AB27" i="4"/>
  <c r="AB16" i="4"/>
  <c r="AB14" i="4"/>
  <c r="AB12" i="4"/>
  <c r="AB24" i="4"/>
  <c r="AB22" i="4"/>
  <c r="AB20" i="4"/>
  <c r="AB15" i="4"/>
  <c r="AB11" i="4"/>
  <c r="AC7" i="4"/>
  <c r="AB30" i="2"/>
  <c r="AB20" i="2"/>
  <c r="AB15" i="2"/>
  <c r="AB22" i="2"/>
  <c r="AB17" i="2"/>
  <c r="AB27" i="2"/>
  <c r="AB25" i="2"/>
  <c r="AB14" i="2"/>
  <c r="AB13" i="2"/>
  <c r="AB21" i="2"/>
  <c r="AB16" i="2"/>
  <c r="AB28" i="2"/>
  <c r="AB26" i="2"/>
  <c r="AB24" i="2"/>
  <c r="AB18" i="2"/>
  <c r="AB12" i="2"/>
  <c r="AB11" i="2"/>
  <c r="AB9" i="2"/>
  <c r="AB19" i="2"/>
  <c r="AB29" i="2"/>
  <c r="AC7" i="2"/>
  <c r="AC35" i="4" l="1"/>
  <c r="AC29" i="4"/>
  <c r="AC33" i="4"/>
  <c r="AC31" i="4"/>
  <c r="AC25" i="4"/>
  <c r="AC23" i="4"/>
  <c r="AC27" i="4"/>
  <c r="AC28" i="4"/>
  <c r="AC26" i="4"/>
  <c r="AC32" i="4"/>
  <c r="AC24" i="4"/>
  <c r="AC18" i="4"/>
  <c r="AC17" i="4"/>
  <c r="AC13" i="4"/>
  <c r="AC22" i="4"/>
  <c r="AC21" i="4"/>
  <c r="AC30" i="4"/>
  <c r="AC16" i="4"/>
  <c r="AC14" i="4"/>
  <c r="AC12" i="4"/>
  <c r="AD7" i="4"/>
  <c r="AC34" i="4"/>
  <c r="AC20" i="4"/>
  <c r="AC15" i="4"/>
  <c r="AC19" i="4"/>
  <c r="AC9" i="4"/>
  <c r="AC11" i="4"/>
  <c r="AC30" i="2"/>
  <c r="AC22" i="2"/>
  <c r="AC17" i="2"/>
  <c r="AC27" i="2"/>
  <c r="AC25" i="2"/>
  <c r="AC14" i="2"/>
  <c r="AC29" i="2"/>
  <c r="AC19" i="2"/>
  <c r="AC28" i="2"/>
  <c r="AC26" i="2"/>
  <c r="AC24" i="2"/>
  <c r="AC18" i="2"/>
  <c r="AC20" i="2"/>
  <c r="AC11" i="2"/>
  <c r="AC16" i="2"/>
  <c r="AC13" i="2"/>
  <c r="AC9" i="2"/>
  <c r="AC21" i="2"/>
  <c r="AC15" i="2"/>
  <c r="AC12" i="2"/>
  <c r="AD7" i="2"/>
  <c r="AC31" i="3"/>
  <c r="AC29" i="3"/>
  <c r="AC33" i="3"/>
  <c r="AC35" i="3"/>
  <c r="AC22" i="3"/>
  <c r="AC15" i="3"/>
  <c r="AC34" i="3"/>
  <c r="AC21" i="3"/>
  <c r="AC19" i="3"/>
  <c r="AC17" i="3"/>
  <c r="AC30" i="3"/>
  <c r="AC27" i="3"/>
  <c r="AC24" i="3"/>
  <c r="AC23" i="3"/>
  <c r="AC28" i="3"/>
  <c r="AC25" i="3"/>
  <c r="AC14" i="3"/>
  <c r="AC12" i="3"/>
  <c r="AD7" i="3"/>
  <c r="AC32" i="3"/>
  <c r="AC26" i="3"/>
  <c r="AC20" i="3"/>
  <c r="AC18" i="3"/>
  <c r="AC16" i="3"/>
  <c r="AC9" i="3"/>
  <c r="AC11" i="3"/>
  <c r="AC13" i="3"/>
  <c r="AD27" i="2" l="1"/>
  <c r="AD25" i="2"/>
  <c r="AD14" i="2"/>
  <c r="AD13" i="2"/>
  <c r="AD29" i="2"/>
  <c r="AD19" i="2"/>
  <c r="AD21" i="2"/>
  <c r="AD16" i="2"/>
  <c r="AD20" i="2"/>
  <c r="AD15" i="2"/>
  <c r="AD30" i="2"/>
  <c r="AD22" i="2"/>
  <c r="AD18" i="2"/>
  <c r="AD9" i="2"/>
  <c r="AD6" i="2"/>
  <c r="AD28" i="2"/>
  <c r="AD24" i="2"/>
  <c r="AD17" i="2"/>
  <c r="AE7" i="2"/>
  <c r="AD12" i="2"/>
  <c r="AD26" i="2"/>
  <c r="AD11" i="2"/>
  <c r="AD34" i="4"/>
  <c r="AD27" i="4"/>
  <c r="AD31" i="4"/>
  <c r="AD30" i="4"/>
  <c r="AD16" i="4"/>
  <c r="AD35" i="4"/>
  <c r="AD32" i="4"/>
  <c r="AD24" i="4"/>
  <c r="AD33" i="4"/>
  <c r="AD25" i="4"/>
  <c r="AD20" i="4"/>
  <c r="AD19" i="4"/>
  <c r="AD29" i="4"/>
  <c r="AD28" i="4"/>
  <c r="AD22" i="4"/>
  <c r="AD26" i="4"/>
  <c r="AD21" i="4"/>
  <c r="AD18" i="4"/>
  <c r="AD14" i="4"/>
  <c r="AD9" i="4"/>
  <c r="AD17" i="4"/>
  <c r="AD13" i="4"/>
  <c r="AD11" i="4"/>
  <c r="AD6" i="4"/>
  <c r="AE7" i="4"/>
  <c r="AD23" i="4"/>
  <c r="AD12" i="4"/>
  <c r="AD15" i="4"/>
  <c r="AD33" i="3"/>
  <c r="AD22" i="3"/>
  <c r="AD28" i="3"/>
  <c r="AD34" i="3"/>
  <c r="AD31" i="3"/>
  <c r="AD21" i="3"/>
  <c r="AD19" i="3"/>
  <c r="AD17" i="3"/>
  <c r="AD30" i="3"/>
  <c r="AD27" i="3"/>
  <c r="AD24" i="3"/>
  <c r="AD23" i="3"/>
  <c r="AD26" i="3"/>
  <c r="AD25" i="3"/>
  <c r="AD16" i="3"/>
  <c r="AD35" i="3"/>
  <c r="AD32" i="3"/>
  <c r="AD20" i="3"/>
  <c r="AD13" i="3"/>
  <c r="AD11" i="3"/>
  <c r="AD29" i="3"/>
  <c r="AD15" i="3"/>
  <c r="AD14" i="3"/>
  <c r="AD12" i="3"/>
  <c r="AD18" i="3"/>
  <c r="AD9" i="3"/>
  <c r="AD6" i="3"/>
  <c r="AE7" i="3"/>
  <c r="AE31" i="4" l="1"/>
  <c r="AE29" i="4"/>
  <c r="AE32" i="4"/>
  <c r="AE35" i="4"/>
  <c r="AE22" i="4"/>
  <c r="AE20" i="4"/>
  <c r="AE18" i="4"/>
  <c r="AE34" i="4"/>
  <c r="AE28" i="4"/>
  <c r="AE26" i="4"/>
  <c r="AE21" i="4"/>
  <c r="AE27" i="4"/>
  <c r="AE23" i="4"/>
  <c r="AE24" i="4"/>
  <c r="AE19" i="4"/>
  <c r="AE33" i="4"/>
  <c r="AE17" i="4"/>
  <c r="AE15" i="4"/>
  <c r="AE25" i="4"/>
  <c r="AE14" i="4"/>
  <c r="AE13" i="4"/>
  <c r="AE30" i="4"/>
  <c r="AE16" i="4"/>
  <c r="AE11" i="4"/>
  <c r="AE12" i="4"/>
  <c r="AE9" i="4"/>
  <c r="AF7" i="4"/>
  <c r="AE28" i="3"/>
  <c r="AE26" i="3"/>
  <c r="AE24" i="3"/>
  <c r="AE32" i="3"/>
  <c r="AE30" i="3"/>
  <c r="AE27" i="3"/>
  <c r="AE23" i="3"/>
  <c r="AE25" i="3"/>
  <c r="AE16" i="3"/>
  <c r="AE33" i="3"/>
  <c r="AE20" i="3"/>
  <c r="AE18" i="3"/>
  <c r="AE34" i="3"/>
  <c r="AE31" i="3"/>
  <c r="AE22" i="3"/>
  <c r="AE21" i="3"/>
  <c r="AE19" i="3"/>
  <c r="AE17" i="3"/>
  <c r="AE13" i="3"/>
  <c r="AE11" i="3"/>
  <c r="AE35" i="3"/>
  <c r="AE14" i="3"/>
  <c r="AE12" i="3"/>
  <c r="AE29" i="3"/>
  <c r="AE15" i="3"/>
  <c r="AF7" i="3"/>
  <c r="AE9" i="3"/>
  <c r="AE29" i="2"/>
  <c r="AE19" i="2"/>
  <c r="AE21" i="2"/>
  <c r="AE16" i="2"/>
  <c r="AE28" i="2"/>
  <c r="AE26" i="2"/>
  <c r="AE24" i="2"/>
  <c r="AE18" i="2"/>
  <c r="AE12" i="2"/>
  <c r="AE30" i="2"/>
  <c r="AE22" i="2"/>
  <c r="AE17" i="2"/>
  <c r="AE27" i="2"/>
  <c r="AE25" i="2"/>
  <c r="AE9" i="2"/>
  <c r="AF7" i="2"/>
  <c r="AE15" i="2"/>
  <c r="AE20" i="2"/>
  <c r="AE14" i="2"/>
  <c r="AE13" i="2"/>
  <c r="AE11" i="2"/>
  <c r="AF32" i="3" l="1"/>
  <c r="AF30" i="3"/>
  <c r="AF35" i="3"/>
  <c r="AF25" i="3"/>
  <c r="AF24" i="3"/>
  <c r="AF16" i="3"/>
  <c r="AF33" i="3"/>
  <c r="AF26" i="3"/>
  <c r="AF20" i="3"/>
  <c r="AF18" i="3"/>
  <c r="AF29" i="3"/>
  <c r="AF27" i="3"/>
  <c r="AF23" i="3"/>
  <c r="AF22" i="3"/>
  <c r="AF21" i="3"/>
  <c r="AF13" i="3"/>
  <c r="AF11" i="3"/>
  <c r="AF31" i="3"/>
  <c r="AF19" i="3"/>
  <c r="AF15" i="3"/>
  <c r="AF9" i="3"/>
  <c r="AF17" i="3"/>
  <c r="AF34" i="3"/>
  <c r="AF28" i="3"/>
  <c r="AG7" i="3"/>
  <c r="AF14" i="3"/>
  <c r="AF12" i="3"/>
  <c r="AF30" i="2"/>
  <c r="AF29" i="2"/>
  <c r="AF21" i="2"/>
  <c r="AF16" i="2"/>
  <c r="AF28" i="2"/>
  <c r="AF26" i="2"/>
  <c r="AF24" i="2"/>
  <c r="AF18" i="2"/>
  <c r="AF20" i="2"/>
  <c r="AF15" i="2"/>
  <c r="AF27" i="2"/>
  <c r="AF25" i="2"/>
  <c r="AF19" i="2"/>
  <c r="AF22" i="2"/>
  <c r="AG7" i="2"/>
  <c r="AF17" i="2"/>
  <c r="AF14" i="2"/>
  <c r="AF13" i="2"/>
  <c r="AF12" i="2"/>
  <c r="AF11" i="2"/>
  <c r="AF9" i="2"/>
  <c r="AF33" i="4"/>
  <c r="AF29" i="4"/>
  <c r="AF27" i="4"/>
  <c r="AF24" i="4"/>
  <c r="AF30" i="4"/>
  <c r="AF28" i="4"/>
  <c r="AF26" i="4"/>
  <c r="AF31" i="4"/>
  <c r="AF34" i="4"/>
  <c r="AF25" i="4"/>
  <c r="AF22" i="4"/>
  <c r="AF14" i="4"/>
  <c r="AF35" i="4"/>
  <c r="AF32" i="4"/>
  <c r="AF21" i="4"/>
  <c r="AF20" i="4"/>
  <c r="AF11" i="4"/>
  <c r="AF17" i="4"/>
  <c r="AF15" i="4"/>
  <c r="AF23" i="4"/>
  <c r="AF19" i="4"/>
  <c r="AF18" i="4"/>
  <c r="AF16" i="4"/>
  <c r="AF13" i="4"/>
  <c r="AF9" i="4"/>
  <c r="AG7" i="4"/>
  <c r="AF12" i="4"/>
  <c r="AG28" i="2" l="1"/>
  <c r="AG26" i="2"/>
  <c r="AG24" i="2"/>
  <c r="AG18" i="2"/>
  <c r="AG12" i="2"/>
  <c r="AG20" i="2"/>
  <c r="AG15" i="2"/>
  <c r="AG22" i="2"/>
  <c r="AG19" i="2"/>
  <c r="AG29" i="2"/>
  <c r="AG21" i="2"/>
  <c r="AG27" i="2"/>
  <c r="AG14" i="2"/>
  <c r="AG13" i="2"/>
  <c r="AG30" i="2"/>
  <c r="AG16" i="2"/>
  <c r="AG11" i="2"/>
  <c r="AG9" i="2"/>
  <c r="AH7" i="2"/>
  <c r="AG25" i="2"/>
  <c r="AG28" i="4"/>
  <c r="AG33" i="4"/>
  <c r="AG26" i="4"/>
  <c r="AG35" i="4"/>
  <c r="AG34" i="4"/>
  <c r="AG32" i="4"/>
  <c r="AG15" i="4"/>
  <c r="AG25" i="4"/>
  <c r="AG29" i="4"/>
  <c r="AG27" i="4"/>
  <c r="AG24" i="4"/>
  <c r="AG23" i="4"/>
  <c r="AG30" i="4"/>
  <c r="AG21" i="4"/>
  <c r="AG22" i="4"/>
  <c r="AG20" i="4"/>
  <c r="AG17" i="4"/>
  <c r="AG19" i="4"/>
  <c r="AG13" i="4"/>
  <c r="AG12" i="4"/>
  <c r="AG31" i="4"/>
  <c r="AG18" i="4"/>
  <c r="AH7" i="4"/>
  <c r="AG16" i="4"/>
  <c r="AG14" i="4"/>
  <c r="AG11" i="4"/>
  <c r="AG9" i="4"/>
  <c r="AG35" i="3"/>
  <c r="AG34" i="3"/>
  <c r="AG27" i="3"/>
  <c r="AG33" i="3"/>
  <c r="AG30" i="3"/>
  <c r="AG26" i="3"/>
  <c r="AG20" i="3"/>
  <c r="AG18" i="3"/>
  <c r="AG29" i="3"/>
  <c r="AG32" i="3"/>
  <c r="AG15" i="3"/>
  <c r="AG25" i="3"/>
  <c r="AG24" i="3"/>
  <c r="AG31" i="3"/>
  <c r="AG23" i="3"/>
  <c r="AG19" i="3"/>
  <c r="AG9" i="3"/>
  <c r="AG14" i="3"/>
  <c r="AG12" i="3"/>
  <c r="AH7" i="3"/>
  <c r="AG28" i="3"/>
  <c r="AG16" i="3"/>
  <c r="AG22" i="3"/>
  <c r="AG21" i="3"/>
  <c r="AG13" i="3"/>
  <c r="AG11" i="3"/>
  <c r="AG17" i="3"/>
  <c r="AH35" i="3" l="1"/>
  <c r="AH34" i="3"/>
  <c r="AH27" i="3"/>
  <c r="AH25" i="3"/>
  <c r="AH23" i="3"/>
  <c r="AH31" i="3"/>
  <c r="AH29" i="3"/>
  <c r="AH32" i="3"/>
  <c r="AH15" i="3"/>
  <c r="AH28" i="3"/>
  <c r="AH22" i="3"/>
  <c r="AH21" i="3"/>
  <c r="AH19" i="3"/>
  <c r="AH17" i="3"/>
  <c r="AH33" i="3"/>
  <c r="AH30" i="3"/>
  <c r="AH26" i="3"/>
  <c r="AH20" i="3"/>
  <c r="AH18" i="3"/>
  <c r="AH9" i="3"/>
  <c r="AH14" i="3"/>
  <c r="AH12" i="3"/>
  <c r="AH13" i="3"/>
  <c r="AH24" i="3"/>
  <c r="AI7" i="3"/>
  <c r="AH16" i="3"/>
  <c r="AH11" i="3"/>
  <c r="AH35" i="4"/>
  <c r="AH32" i="4"/>
  <c r="AH30" i="4"/>
  <c r="AH34" i="4"/>
  <c r="AH27" i="4"/>
  <c r="AH21" i="4"/>
  <c r="AH19" i="4"/>
  <c r="AH17" i="4"/>
  <c r="AH31" i="4"/>
  <c r="AH16" i="4"/>
  <c r="AH15" i="4"/>
  <c r="AH33" i="4"/>
  <c r="AH29" i="4"/>
  <c r="AH24" i="4"/>
  <c r="AH22" i="4"/>
  <c r="AH28" i="4"/>
  <c r="AH26" i="4"/>
  <c r="AH25" i="4"/>
  <c r="AH23" i="4"/>
  <c r="AH9" i="4"/>
  <c r="AH13" i="4"/>
  <c r="AH12" i="4"/>
  <c r="AH18" i="4"/>
  <c r="AH14" i="4"/>
  <c r="AH20" i="4"/>
  <c r="AI7" i="4"/>
  <c r="AH11" i="4"/>
  <c r="AH30" i="2"/>
  <c r="AH20" i="2"/>
  <c r="AH15" i="2"/>
  <c r="AH22" i="2"/>
  <c r="AH27" i="2"/>
  <c r="AH25" i="2"/>
  <c r="AH17" i="2"/>
  <c r="AH14" i="2"/>
  <c r="AH13" i="2"/>
  <c r="AH29" i="2"/>
  <c r="AH21" i="2"/>
  <c r="AH16" i="2"/>
  <c r="AH28" i="2"/>
  <c r="AH26" i="2"/>
  <c r="AH24" i="2"/>
  <c r="AH18" i="2"/>
  <c r="AI7" i="2"/>
  <c r="AH19" i="2"/>
  <c r="AH11" i="2"/>
  <c r="AH12" i="2"/>
  <c r="AH9" i="2"/>
  <c r="AI22" i="2" l="1"/>
  <c r="AI27" i="2"/>
  <c r="AI25" i="2"/>
  <c r="AI17" i="2"/>
  <c r="AI14" i="2"/>
  <c r="AI30" i="2"/>
  <c r="AI19" i="2"/>
  <c r="AI28" i="2"/>
  <c r="AI26" i="2"/>
  <c r="AI24" i="2"/>
  <c r="AI18" i="2"/>
  <c r="AI20" i="2"/>
  <c r="AI11" i="2"/>
  <c r="AI16" i="2"/>
  <c r="AI12" i="2"/>
  <c r="AI15" i="2"/>
  <c r="AI9" i="2"/>
  <c r="AI29" i="2"/>
  <c r="AI13" i="2"/>
  <c r="AI21" i="2"/>
  <c r="AJ7" i="2"/>
  <c r="AI28" i="4"/>
  <c r="AI30" i="4"/>
  <c r="AI26" i="4"/>
  <c r="AI25" i="4"/>
  <c r="AI23" i="4"/>
  <c r="AI33" i="4"/>
  <c r="AI31" i="4"/>
  <c r="AI35" i="4"/>
  <c r="AI34" i="4"/>
  <c r="AI32" i="4"/>
  <c r="AI13" i="4"/>
  <c r="AI27" i="4"/>
  <c r="AI22" i="4"/>
  <c r="AI19" i="4"/>
  <c r="AI15" i="4"/>
  <c r="AI12" i="4"/>
  <c r="AJ7" i="4"/>
  <c r="AI24" i="4"/>
  <c r="AI18" i="4"/>
  <c r="AI14" i="4"/>
  <c r="AI16" i="4"/>
  <c r="AI21" i="4"/>
  <c r="AI20" i="4"/>
  <c r="AI29" i="4"/>
  <c r="AI17" i="4"/>
  <c r="AI11" i="4"/>
  <c r="AI9" i="4"/>
  <c r="AI31" i="3"/>
  <c r="AI29" i="3"/>
  <c r="AI33" i="3"/>
  <c r="AI32" i="3"/>
  <c r="AI15" i="3"/>
  <c r="AI28" i="3"/>
  <c r="AI22" i="3"/>
  <c r="AI21" i="3"/>
  <c r="AI19" i="3"/>
  <c r="AI17" i="3"/>
  <c r="AI23" i="3"/>
  <c r="AI20" i="3"/>
  <c r="AI14" i="3"/>
  <c r="AI12" i="3"/>
  <c r="AJ7" i="3"/>
  <c r="AI26" i="3"/>
  <c r="AI30" i="3"/>
  <c r="AI24" i="3"/>
  <c r="AI18" i="3"/>
  <c r="AI16" i="3"/>
  <c r="AI34" i="3"/>
  <c r="AI27" i="3"/>
  <c r="AI25" i="3"/>
  <c r="AI13" i="3"/>
  <c r="AI11" i="3"/>
  <c r="AI9" i="3"/>
  <c r="AI35" i="3"/>
  <c r="AJ33" i="3" l="1"/>
  <c r="AJ22" i="3"/>
  <c r="AJ28" i="3"/>
  <c r="AJ29" i="3"/>
  <c r="AJ21" i="3"/>
  <c r="AJ19" i="3"/>
  <c r="AJ17" i="3"/>
  <c r="AJ35" i="3"/>
  <c r="AJ34" i="3"/>
  <c r="AJ31" i="3"/>
  <c r="AJ24" i="3"/>
  <c r="AJ23" i="3"/>
  <c r="AJ16" i="3"/>
  <c r="AJ32" i="3"/>
  <c r="AJ26" i="3"/>
  <c r="AJ30" i="3"/>
  <c r="AJ18" i="3"/>
  <c r="AJ15" i="3"/>
  <c r="AJ13" i="3"/>
  <c r="AJ11" i="3"/>
  <c r="AJ27" i="3"/>
  <c r="AJ25" i="3"/>
  <c r="AJ20" i="3"/>
  <c r="AJ14" i="3"/>
  <c r="AJ12" i="3"/>
  <c r="AJ9" i="3"/>
  <c r="AK7" i="3"/>
  <c r="AJ27" i="2"/>
  <c r="AJ25" i="2"/>
  <c r="AJ17" i="2"/>
  <c r="AJ14" i="2"/>
  <c r="AJ13" i="2"/>
  <c r="AJ30" i="2"/>
  <c r="AJ19" i="2"/>
  <c r="AJ29" i="2"/>
  <c r="AJ21" i="2"/>
  <c r="AJ16" i="2"/>
  <c r="AJ20" i="2"/>
  <c r="AJ15" i="2"/>
  <c r="AJ22" i="2"/>
  <c r="AJ12" i="2"/>
  <c r="AJ28" i="2"/>
  <c r="AJ24" i="2"/>
  <c r="AJ9" i="2"/>
  <c r="AK7" i="2"/>
  <c r="AJ26" i="2"/>
  <c r="AJ18" i="2"/>
  <c r="AJ11" i="2"/>
  <c r="AJ34" i="4"/>
  <c r="AJ27" i="4"/>
  <c r="AJ35" i="4"/>
  <c r="AJ29" i="4"/>
  <c r="AJ28" i="4"/>
  <c r="AJ16" i="4"/>
  <c r="AJ24" i="4"/>
  <c r="AJ30" i="4"/>
  <c r="AJ26" i="4"/>
  <c r="AJ25" i="4"/>
  <c r="AJ18" i="4"/>
  <c r="AJ17" i="4"/>
  <c r="AJ22" i="4"/>
  <c r="AJ21" i="4"/>
  <c r="AJ32" i="4"/>
  <c r="AJ23" i="4"/>
  <c r="AJ31" i="4"/>
  <c r="AJ14" i="4"/>
  <c r="AJ13" i="4"/>
  <c r="AJ33" i="4"/>
  <c r="AJ19" i="4"/>
  <c r="AJ15" i="4"/>
  <c r="AJ20" i="4"/>
  <c r="AJ9" i="4"/>
  <c r="AJ11" i="4"/>
  <c r="AK7" i="4"/>
  <c r="AJ12" i="4"/>
  <c r="AK29" i="2" l="1"/>
  <c r="AK30" i="2"/>
  <c r="AK19" i="2"/>
  <c r="AK21" i="2"/>
  <c r="AK16" i="2"/>
  <c r="AK28" i="2"/>
  <c r="AK26" i="2"/>
  <c r="AK24" i="2"/>
  <c r="AK18" i="2"/>
  <c r="AK12" i="2"/>
  <c r="AK22" i="2"/>
  <c r="AK27" i="2"/>
  <c r="AK25" i="2"/>
  <c r="AK17" i="2"/>
  <c r="AK9" i="2"/>
  <c r="AL7" i="2"/>
  <c r="AK20" i="2"/>
  <c r="AK15" i="2"/>
  <c r="AK13" i="2"/>
  <c r="AK11" i="2"/>
  <c r="AK14" i="2"/>
  <c r="AK6" i="2"/>
  <c r="AK28" i="3"/>
  <c r="AK26" i="3"/>
  <c r="AK24" i="3"/>
  <c r="AK32" i="3"/>
  <c r="AK30" i="3"/>
  <c r="AK22" i="3"/>
  <c r="AK35" i="3"/>
  <c r="AK34" i="3"/>
  <c r="AK31" i="3"/>
  <c r="AK23" i="3"/>
  <c r="AK16" i="3"/>
  <c r="AK27" i="3"/>
  <c r="AK25" i="3"/>
  <c r="AK20" i="3"/>
  <c r="AK18" i="3"/>
  <c r="AK29" i="3"/>
  <c r="AK21" i="3"/>
  <c r="AK19" i="3"/>
  <c r="AK17" i="3"/>
  <c r="AK33" i="3"/>
  <c r="AK15" i="3"/>
  <c r="AK6" i="3"/>
  <c r="AK13" i="3"/>
  <c r="AK11" i="3"/>
  <c r="AK14" i="3"/>
  <c r="AK12" i="3"/>
  <c r="AK9" i="3"/>
  <c r="AL7" i="3"/>
  <c r="AK31" i="4"/>
  <c r="AK29" i="4"/>
  <c r="AK30" i="4"/>
  <c r="AK33" i="4"/>
  <c r="AK22" i="4"/>
  <c r="AK20" i="4"/>
  <c r="AK18" i="4"/>
  <c r="AK28" i="4"/>
  <c r="AK27" i="4"/>
  <c r="AK19" i="4"/>
  <c r="AK24" i="4"/>
  <c r="AK35" i="4"/>
  <c r="AK26" i="4"/>
  <c r="AK25" i="4"/>
  <c r="AK34" i="4"/>
  <c r="AK6" i="4"/>
  <c r="AK23" i="4"/>
  <c r="AK16" i="4"/>
  <c r="AK17" i="4"/>
  <c r="AK15" i="4"/>
  <c r="AK14" i="4"/>
  <c r="AK13" i="4"/>
  <c r="AK9" i="4"/>
  <c r="AK12" i="4"/>
  <c r="AK11" i="4"/>
  <c r="AK32" i="4"/>
  <c r="AK21" i="4"/>
  <c r="AL7" i="4"/>
  <c r="AL33" i="4" l="1"/>
  <c r="AL32" i="4"/>
  <c r="AL31" i="4"/>
  <c r="AL35" i="4"/>
  <c r="AL24" i="4"/>
  <c r="AL29" i="4"/>
  <c r="AL27" i="4"/>
  <c r="AL21" i="4"/>
  <c r="AL20" i="4"/>
  <c r="AL14" i="4"/>
  <c r="AL12" i="4"/>
  <c r="AL23" i="4"/>
  <c r="AL34" i="4"/>
  <c r="AL28" i="4"/>
  <c r="AL19" i="4"/>
  <c r="AL18" i="4"/>
  <c r="AL16" i="4"/>
  <c r="AL11" i="4"/>
  <c r="AL26" i="4"/>
  <c r="AL30" i="4"/>
  <c r="AL13" i="4"/>
  <c r="AL22" i="4"/>
  <c r="AL17" i="4"/>
  <c r="AL25" i="4"/>
  <c r="AL15" i="4"/>
  <c r="AL9" i="4"/>
  <c r="AM7" i="4"/>
  <c r="AL30" i="2"/>
  <c r="AL21" i="2"/>
  <c r="AL16" i="2"/>
  <c r="AL29" i="2"/>
  <c r="AL28" i="2"/>
  <c r="AL26" i="2"/>
  <c r="AL24" i="2"/>
  <c r="AL18" i="2"/>
  <c r="AL20" i="2"/>
  <c r="AL15" i="2"/>
  <c r="AL27" i="2"/>
  <c r="AL25" i="2"/>
  <c r="AL17" i="2"/>
  <c r="AL19" i="2"/>
  <c r="AM7" i="2"/>
  <c r="AL13" i="2"/>
  <c r="AL11" i="2"/>
  <c r="AL14" i="2"/>
  <c r="AL22" i="2"/>
  <c r="AL12" i="2"/>
  <c r="AL9" i="2"/>
  <c r="AL32" i="3"/>
  <c r="AL30" i="3"/>
  <c r="AL35" i="3"/>
  <c r="AL34" i="3"/>
  <c r="AL31" i="3"/>
  <c r="AL28" i="3"/>
  <c r="AL23" i="3"/>
  <c r="AL16" i="3"/>
  <c r="AL27" i="3"/>
  <c r="AL25" i="3"/>
  <c r="AL24" i="3"/>
  <c r="AL20" i="3"/>
  <c r="AL18" i="3"/>
  <c r="AL26" i="3"/>
  <c r="AL22" i="3"/>
  <c r="AL19" i="3"/>
  <c r="AL13" i="3"/>
  <c r="AL11" i="3"/>
  <c r="AL29" i="3"/>
  <c r="AL17" i="3"/>
  <c r="AL9" i="3"/>
  <c r="AL21" i="3"/>
  <c r="AL33" i="3"/>
  <c r="AL15" i="3"/>
  <c r="AL12" i="3"/>
  <c r="AL14" i="3"/>
  <c r="AM7" i="3"/>
  <c r="AM28" i="4" l="1"/>
  <c r="AM26" i="4"/>
  <c r="AM31" i="4"/>
  <c r="AM15" i="4"/>
  <c r="AM34" i="4"/>
  <c r="AM32" i="4"/>
  <c r="AM25" i="4"/>
  <c r="AM33" i="4"/>
  <c r="AM24" i="4"/>
  <c r="AM30" i="4"/>
  <c r="AM22" i="4"/>
  <c r="AM29" i="4"/>
  <c r="AM27" i="4"/>
  <c r="AM21" i="4"/>
  <c r="AM20" i="4"/>
  <c r="AM23" i="4"/>
  <c r="AM18" i="4"/>
  <c r="AM17" i="4"/>
  <c r="AM19" i="4"/>
  <c r="AM14" i="4"/>
  <c r="AM35" i="4"/>
  <c r="AM16" i="4"/>
  <c r="AM12" i="4"/>
  <c r="AM11" i="4"/>
  <c r="AM9" i="4"/>
  <c r="AM13" i="4"/>
  <c r="AN7" i="4"/>
  <c r="AM29" i="2"/>
  <c r="AM28" i="2"/>
  <c r="AM26" i="2"/>
  <c r="AM24" i="2"/>
  <c r="AM18" i="2"/>
  <c r="AM12" i="2"/>
  <c r="AM20" i="2"/>
  <c r="AM15" i="2"/>
  <c r="AM22" i="2"/>
  <c r="AM19" i="2"/>
  <c r="AM30" i="2"/>
  <c r="AM21" i="2"/>
  <c r="AM16" i="2"/>
  <c r="AM14" i="2"/>
  <c r="AM25" i="2"/>
  <c r="AM13" i="2"/>
  <c r="AM11" i="2"/>
  <c r="AM9" i="2"/>
  <c r="AM27" i="2"/>
  <c r="AM17" i="2"/>
  <c r="AN7" i="2"/>
  <c r="AM35" i="3"/>
  <c r="AM34" i="3"/>
  <c r="AM27" i="3"/>
  <c r="AM25" i="3"/>
  <c r="AM24" i="3"/>
  <c r="AM20" i="3"/>
  <c r="AM18" i="3"/>
  <c r="AM26" i="3"/>
  <c r="AM33" i="3"/>
  <c r="AM30" i="3"/>
  <c r="AM15" i="3"/>
  <c r="AM31" i="3"/>
  <c r="AM28" i="3"/>
  <c r="AM23" i="3"/>
  <c r="AM32" i="3"/>
  <c r="AM29" i="3"/>
  <c r="AM17" i="3"/>
  <c r="AM16" i="3"/>
  <c r="AM9" i="3"/>
  <c r="AM14" i="3"/>
  <c r="AM12" i="3"/>
  <c r="AN7" i="3"/>
  <c r="AM22" i="3"/>
  <c r="AM19" i="3"/>
  <c r="AM13" i="3"/>
  <c r="AM11" i="3"/>
  <c r="AM21" i="3"/>
  <c r="AN30" i="2" l="1"/>
  <c r="AN20" i="2"/>
  <c r="AN15" i="2"/>
  <c r="AN22" i="2"/>
  <c r="AN27" i="2"/>
  <c r="AN25" i="2"/>
  <c r="AN17" i="2"/>
  <c r="AN14" i="2"/>
  <c r="AN13" i="2"/>
  <c r="AN21" i="2"/>
  <c r="AN16" i="2"/>
  <c r="AN29" i="2"/>
  <c r="AN28" i="2"/>
  <c r="AN26" i="2"/>
  <c r="AN24" i="2"/>
  <c r="AN18" i="2"/>
  <c r="AN19" i="2"/>
  <c r="AN11" i="2"/>
  <c r="AN9" i="2"/>
  <c r="AN12" i="2"/>
  <c r="AO7" i="2"/>
  <c r="AN34" i="3"/>
  <c r="AN27" i="3"/>
  <c r="AN25" i="3"/>
  <c r="AN23" i="3"/>
  <c r="AN35" i="3"/>
  <c r="AN31" i="3"/>
  <c r="AN29" i="3"/>
  <c r="AN26" i="3"/>
  <c r="AN33" i="3"/>
  <c r="AN30" i="3"/>
  <c r="AN15" i="3"/>
  <c r="AN21" i="3"/>
  <c r="AN19" i="3"/>
  <c r="AN17" i="3"/>
  <c r="AN24" i="3"/>
  <c r="AN20" i="3"/>
  <c r="AN18" i="3"/>
  <c r="AN16" i="3"/>
  <c r="AN9" i="3"/>
  <c r="AN14" i="3"/>
  <c r="AN12" i="3"/>
  <c r="AN13" i="3"/>
  <c r="AN32" i="3"/>
  <c r="AN22" i="3"/>
  <c r="AN11" i="3"/>
  <c r="AN28" i="3"/>
  <c r="AO7" i="3"/>
  <c r="AN35" i="4"/>
  <c r="AN32" i="4"/>
  <c r="AN30" i="4"/>
  <c r="AN33" i="4"/>
  <c r="AN29" i="4"/>
  <c r="AN27" i="4"/>
  <c r="AN21" i="4"/>
  <c r="AN19" i="4"/>
  <c r="AN17" i="4"/>
  <c r="AN26" i="4"/>
  <c r="AN31" i="4"/>
  <c r="AN23" i="4"/>
  <c r="AN25" i="4"/>
  <c r="AN20" i="4"/>
  <c r="AN22" i="4"/>
  <c r="AN34" i="4"/>
  <c r="AN24" i="4"/>
  <c r="AN9" i="4"/>
  <c r="AN15" i="4"/>
  <c r="AN13" i="4"/>
  <c r="AN12" i="4"/>
  <c r="AN16" i="4"/>
  <c r="AN28" i="4"/>
  <c r="AN18" i="4"/>
  <c r="AO7" i="4"/>
  <c r="AN11" i="4"/>
  <c r="AN14" i="4"/>
  <c r="AO35" i="3" l="1"/>
  <c r="AO31" i="3"/>
  <c r="AO29" i="3"/>
  <c r="AO33" i="3"/>
  <c r="AO30" i="3"/>
  <c r="AO27" i="3"/>
  <c r="AO15" i="3"/>
  <c r="AO21" i="3"/>
  <c r="AO19" i="3"/>
  <c r="AO17" i="3"/>
  <c r="AO32" i="3"/>
  <c r="AO22" i="3"/>
  <c r="AO34" i="3"/>
  <c r="AO26" i="3"/>
  <c r="AO25" i="3"/>
  <c r="AO18" i="3"/>
  <c r="AO14" i="3"/>
  <c r="AO12" i="3"/>
  <c r="AP7" i="3"/>
  <c r="AO24" i="3"/>
  <c r="AO28" i="3"/>
  <c r="AO20" i="3"/>
  <c r="AO23" i="3"/>
  <c r="AO16" i="3"/>
  <c r="AO11" i="3"/>
  <c r="AO9" i="3"/>
  <c r="AO13" i="3"/>
  <c r="AO22" i="2"/>
  <c r="AO27" i="2"/>
  <c r="AO25" i="2"/>
  <c r="AO17" i="2"/>
  <c r="AO14" i="2"/>
  <c r="AO19" i="2"/>
  <c r="AO30" i="2"/>
  <c r="AO29" i="2"/>
  <c r="AO28" i="2"/>
  <c r="AO26" i="2"/>
  <c r="AO24" i="2"/>
  <c r="AO18" i="2"/>
  <c r="AO20" i="2"/>
  <c r="AO15" i="2"/>
  <c r="AO11" i="2"/>
  <c r="AO13" i="2"/>
  <c r="AO12" i="2"/>
  <c r="AO21" i="2"/>
  <c r="AO9" i="2"/>
  <c r="AO16" i="2"/>
  <c r="AP7" i="2"/>
  <c r="AO34" i="4"/>
  <c r="AO27" i="4"/>
  <c r="AO25" i="4"/>
  <c r="AO23" i="4"/>
  <c r="AO35" i="4"/>
  <c r="AO30" i="4"/>
  <c r="AO28" i="4"/>
  <c r="AO29" i="4"/>
  <c r="AO33" i="4"/>
  <c r="AO24" i="4"/>
  <c r="AO16" i="4"/>
  <c r="AO15" i="4"/>
  <c r="AO13" i="4"/>
  <c r="AO32" i="4"/>
  <c r="AO26" i="4"/>
  <c r="AO31" i="4"/>
  <c r="AO22" i="4"/>
  <c r="AO21" i="4"/>
  <c r="AP7" i="4"/>
  <c r="AO17" i="4"/>
  <c r="AO12" i="4"/>
  <c r="AO20" i="4"/>
  <c r="AO14" i="4"/>
  <c r="AO18" i="4"/>
  <c r="AO19" i="4"/>
  <c r="AO11" i="4"/>
  <c r="AO9" i="4"/>
  <c r="AP27" i="2" l="1"/>
  <c r="AP25" i="2"/>
  <c r="AP17" i="2"/>
  <c r="AP14" i="2"/>
  <c r="AP13" i="2"/>
  <c r="AP19" i="2"/>
  <c r="AP21" i="2"/>
  <c r="AP16" i="2"/>
  <c r="AP20" i="2"/>
  <c r="AP15" i="2"/>
  <c r="AP22" i="2"/>
  <c r="AP30" i="2"/>
  <c r="AP28" i="2"/>
  <c r="AP24" i="2"/>
  <c r="AP9" i="2"/>
  <c r="AP12" i="2"/>
  <c r="AQ7" i="2"/>
  <c r="AP18" i="2"/>
  <c r="AP11" i="2"/>
  <c r="AP29" i="2"/>
  <c r="AP26" i="2"/>
  <c r="AP34" i="4"/>
  <c r="AP27" i="4"/>
  <c r="AP28" i="4"/>
  <c r="AP25" i="4"/>
  <c r="AP32" i="4"/>
  <c r="AP26" i="4"/>
  <c r="AP16" i="4"/>
  <c r="AP24" i="4"/>
  <c r="AP35" i="4"/>
  <c r="AP33" i="4"/>
  <c r="AP30" i="4"/>
  <c r="AP23" i="4"/>
  <c r="AP17" i="4"/>
  <c r="AP12" i="4"/>
  <c r="AP20" i="4"/>
  <c r="AP15" i="4"/>
  <c r="AP14" i="4"/>
  <c r="AP13" i="4"/>
  <c r="AP21" i="4"/>
  <c r="AP19" i="4"/>
  <c r="AP11" i="4"/>
  <c r="AP29" i="4"/>
  <c r="AP22" i="4"/>
  <c r="AQ7" i="4"/>
  <c r="AP31" i="4"/>
  <c r="AP18" i="4"/>
  <c r="AP9" i="4"/>
  <c r="AP33" i="3"/>
  <c r="AP22" i="3"/>
  <c r="AP28" i="3"/>
  <c r="AP21" i="3"/>
  <c r="AP19" i="3"/>
  <c r="AP17" i="3"/>
  <c r="AP32" i="3"/>
  <c r="AP29" i="3"/>
  <c r="AP16" i="3"/>
  <c r="AP35" i="3"/>
  <c r="AP30" i="3"/>
  <c r="AP27" i="3"/>
  <c r="AP31" i="3"/>
  <c r="AP24" i="3"/>
  <c r="AP13" i="3"/>
  <c r="AP11" i="3"/>
  <c r="AP23" i="3"/>
  <c r="AP15" i="3"/>
  <c r="AP26" i="3"/>
  <c r="AP18" i="3"/>
  <c r="AP14" i="3"/>
  <c r="AP12" i="3"/>
  <c r="AP20" i="3"/>
  <c r="AQ7" i="3"/>
  <c r="AP34" i="3"/>
  <c r="AP9" i="3"/>
  <c r="AP25" i="3"/>
  <c r="AQ29" i="2" l="1"/>
  <c r="AQ19" i="2"/>
  <c r="AQ21" i="2"/>
  <c r="AQ16" i="2"/>
  <c r="AQ30" i="2"/>
  <c r="AQ28" i="2"/>
  <c r="AQ26" i="2"/>
  <c r="AQ24" i="2"/>
  <c r="AQ18" i="2"/>
  <c r="AQ12" i="2"/>
  <c r="AQ22" i="2"/>
  <c r="AQ27" i="2"/>
  <c r="AQ25" i="2"/>
  <c r="AQ20" i="2"/>
  <c r="AQ13" i="2"/>
  <c r="AQ9" i="2"/>
  <c r="AR7" i="2"/>
  <c r="AQ14" i="2"/>
  <c r="AQ17" i="2"/>
  <c r="AQ11" i="2"/>
  <c r="AQ15" i="2"/>
  <c r="AQ28" i="3"/>
  <c r="AQ26" i="3"/>
  <c r="AQ24" i="3"/>
  <c r="AQ32" i="3"/>
  <c r="AQ30" i="3"/>
  <c r="AQ33" i="3"/>
  <c r="AQ29" i="3"/>
  <c r="AQ22" i="3"/>
  <c r="AQ16" i="3"/>
  <c r="AQ23" i="3"/>
  <c r="AQ20" i="3"/>
  <c r="AQ18" i="3"/>
  <c r="AQ21" i="3"/>
  <c r="AQ19" i="3"/>
  <c r="AQ17" i="3"/>
  <c r="AQ13" i="3"/>
  <c r="AQ11" i="3"/>
  <c r="AQ35" i="3"/>
  <c r="AQ34" i="3"/>
  <c r="AQ25" i="3"/>
  <c r="AQ14" i="3"/>
  <c r="AQ12" i="3"/>
  <c r="AQ31" i="3"/>
  <c r="AR7" i="3"/>
  <c r="AQ15" i="3"/>
  <c r="AQ27" i="3"/>
  <c r="AQ9" i="3"/>
  <c r="AQ31" i="4"/>
  <c r="AQ29" i="4"/>
  <c r="AQ35" i="4"/>
  <c r="AQ34" i="4"/>
  <c r="AQ30" i="4"/>
  <c r="AQ22" i="4"/>
  <c r="AQ20" i="4"/>
  <c r="AQ18" i="4"/>
  <c r="AQ33" i="4"/>
  <c r="AQ32" i="4"/>
  <c r="AQ27" i="4"/>
  <c r="AQ26" i="4"/>
  <c r="AQ25" i="4"/>
  <c r="AQ17" i="4"/>
  <c r="AQ28" i="4"/>
  <c r="AQ21" i="4"/>
  <c r="AQ23" i="4"/>
  <c r="AQ24" i="4"/>
  <c r="AQ15" i="4"/>
  <c r="AQ14" i="4"/>
  <c r="AQ13" i="4"/>
  <c r="AQ19" i="4"/>
  <c r="AQ16" i="4"/>
  <c r="AQ9" i="4"/>
  <c r="AQ12" i="4"/>
  <c r="AQ11" i="4"/>
  <c r="AR7" i="4"/>
  <c r="AR30" i="2" l="1"/>
  <c r="AR21" i="2"/>
  <c r="AR16" i="2"/>
  <c r="AR28" i="2"/>
  <c r="AR26" i="2"/>
  <c r="AR24" i="2"/>
  <c r="AR18" i="2"/>
  <c r="AR29" i="2"/>
  <c r="AR20" i="2"/>
  <c r="AR15" i="2"/>
  <c r="AR27" i="2"/>
  <c r="AR25" i="2"/>
  <c r="AR17" i="2"/>
  <c r="AR19" i="2"/>
  <c r="AS7" i="2"/>
  <c r="AR14" i="2"/>
  <c r="AR12" i="2"/>
  <c r="AR11" i="2"/>
  <c r="AR6" i="2"/>
  <c r="AR22" i="2"/>
  <c r="AR13" i="2"/>
  <c r="AR9" i="2"/>
  <c r="AR32" i="3"/>
  <c r="AR30" i="3"/>
  <c r="AR29" i="3"/>
  <c r="AR22" i="3"/>
  <c r="AR16" i="3"/>
  <c r="AR23" i="3"/>
  <c r="AR20" i="3"/>
  <c r="AR18" i="3"/>
  <c r="AR34" i="3"/>
  <c r="AR31" i="3"/>
  <c r="AR28" i="3"/>
  <c r="AR25" i="3"/>
  <c r="AR24" i="3"/>
  <c r="AR33" i="3"/>
  <c r="AR17" i="3"/>
  <c r="AR13" i="3"/>
  <c r="AR11" i="3"/>
  <c r="AR35" i="3"/>
  <c r="AR27" i="3"/>
  <c r="AR21" i="3"/>
  <c r="AR15" i="3"/>
  <c r="AR9" i="3"/>
  <c r="AR26" i="3"/>
  <c r="AR19" i="3"/>
  <c r="AR12" i="3"/>
  <c r="AR6" i="3"/>
  <c r="AS7" i="3"/>
  <c r="AR14" i="3"/>
  <c r="AR33" i="4"/>
  <c r="AR30" i="4"/>
  <c r="AR29" i="4"/>
  <c r="AR35" i="4"/>
  <c r="AR28" i="4"/>
  <c r="AR24" i="4"/>
  <c r="AR31" i="4"/>
  <c r="AR34" i="4"/>
  <c r="AR19" i="4"/>
  <c r="AR18" i="4"/>
  <c r="AR14" i="4"/>
  <c r="AR12" i="4"/>
  <c r="AR22" i="4"/>
  <c r="AR27" i="4"/>
  <c r="AR26" i="4"/>
  <c r="AR20" i="4"/>
  <c r="AR11" i="4"/>
  <c r="AR21" i="4"/>
  <c r="AR32" i="4"/>
  <c r="AR25" i="4"/>
  <c r="AR16" i="4"/>
  <c r="AR23" i="4"/>
  <c r="AR17" i="4"/>
  <c r="AR15" i="4"/>
  <c r="AR13" i="4"/>
  <c r="AR9" i="4"/>
  <c r="AR6" i="4"/>
  <c r="AS7" i="4"/>
  <c r="AS28" i="2" l="1"/>
  <c r="AS26" i="2"/>
  <c r="AS24" i="2"/>
  <c r="AS18" i="2"/>
  <c r="AS12" i="2"/>
  <c r="AS30" i="2"/>
  <c r="AS29" i="2"/>
  <c r="AS20" i="2"/>
  <c r="AS15" i="2"/>
  <c r="AS22" i="2"/>
  <c r="AS19" i="2"/>
  <c r="AS21" i="2"/>
  <c r="AS14" i="2"/>
  <c r="AS25" i="2"/>
  <c r="AS11" i="2"/>
  <c r="AS27" i="2"/>
  <c r="AS16" i="2"/>
  <c r="AS13" i="2"/>
  <c r="AS9" i="2"/>
  <c r="AT7" i="2"/>
  <c r="AS17" i="2"/>
  <c r="AS28" i="4"/>
  <c r="AS32" i="4"/>
  <c r="AS31" i="4"/>
  <c r="AS26" i="4"/>
  <c r="AS35" i="4"/>
  <c r="AS15" i="4"/>
  <c r="AS23" i="4"/>
  <c r="AS30" i="4"/>
  <c r="AS24" i="4"/>
  <c r="AS29" i="4"/>
  <c r="AS25" i="4"/>
  <c r="AS21" i="4"/>
  <c r="AS20" i="4"/>
  <c r="AS34" i="4"/>
  <c r="AS33" i="4"/>
  <c r="AS19" i="4"/>
  <c r="AS18" i="4"/>
  <c r="AS16" i="4"/>
  <c r="AS17" i="4"/>
  <c r="AS13" i="4"/>
  <c r="AS27" i="4"/>
  <c r="AS14" i="4"/>
  <c r="AS22" i="4"/>
  <c r="AS12" i="4"/>
  <c r="AS9" i="4"/>
  <c r="AS11" i="4"/>
  <c r="AT7" i="4"/>
  <c r="AS35" i="3"/>
  <c r="AS34" i="3"/>
  <c r="AS27" i="3"/>
  <c r="AS32" i="3"/>
  <c r="AS23" i="3"/>
  <c r="AS20" i="3"/>
  <c r="AS18" i="3"/>
  <c r="AS31" i="3"/>
  <c r="AS28" i="3"/>
  <c r="AS25" i="3"/>
  <c r="AS24" i="3"/>
  <c r="AS26" i="3"/>
  <c r="AS15" i="3"/>
  <c r="AS29" i="3"/>
  <c r="AS22" i="3"/>
  <c r="AS30" i="3"/>
  <c r="AS21" i="3"/>
  <c r="AS9" i="3"/>
  <c r="AS14" i="3"/>
  <c r="AS12" i="3"/>
  <c r="AT7" i="3"/>
  <c r="AS33" i="3"/>
  <c r="AS16" i="3"/>
  <c r="AS17" i="3"/>
  <c r="AS13" i="3"/>
  <c r="AS11" i="3"/>
  <c r="AS19" i="3"/>
  <c r="AT35" i="4" l="1"/>
  <c r="AT32" i="4"/>
  <c r="AT30" i="4"/>
  <c r="AT33" i="4"/>
  <c r="AT21" i="4"/>
  <c r="AT19" i="4"/>
  <c r="AT17" i="4"/>
  <c r="AT29" i="4"/>
  <c r="AT27" i="4"/>
  <c r="AT25" i="4"/>
  <c r="AT28" i="4"/>
  <c r="AT26" i="4"/>
  <c r="AT22" i="4"/>
  <c r="AT31" i="4"/>
  <c r="AT23" i="4"/>
  <c r="AT24" i="4"/>
  <c r="AT20" i="4"/>
  <c r="AT16" i="4"/>
  <c r="AT9" i="4"/>
  <c r="AT18" i="4"/>
  <c r="AT15" i="4"/>
  <c r="AT14" i="4"/>
  <c r="AT34" i="4"/>
  <c r="AT11" i="4"/>
  <c r="AT13" i="4"/>
  <c r="AT12" i="4"/>
  <c r="AU7" i="4"/>
  <c r="AT34" i="3"/>
  <c r="AT27" i="3"/>
  <c r="AT25" i="3"/>
  <c r="AT23" i="3"/>
  <c r="AT31" i="3"/>
  <c r="AT29" i="3"/>
  <c r="AT28" i="3"/>
  <c r="AT24" i="3"/>
  <c r="AT26" i="3"/>
  <c r="AT15" i="3"/>
  <c r="AT35" i="3"/>
  <c r="AT21" i="3"/>
  <c r="AT19" i="3"/>
  <c r="AT17" i="3"/>
  <c r="AT32" i="3"/>
  <c r="AT20" i="3"/>
  <c r="AT18" i="3"/>
  <c r="AT9" i="3"/>
  <c r="AT14" i="3"/>
  <c r="AT12" i="3"/>
  <c r="AT22" i="3"/>
  <c r="AT13" i="3"/>
  <c r="AT30" i="3"/>
  <c r="AT33" i="3"/>
  <c r="AT16" i="3"/>
  <c r="AU7" i="3"/>
  <c r="AT11" i="3"/>
  <c r="AT30" i="2"/>
  <c r="AT29" i="2"/>
  <c r="AT20" i="2"/>
  <c r="AT15" i="2"/>
  <c r="AT22" i="2"/>
  <c r="AT27" i="2"/>
  <c r="AT25" i="2"/>
  <c r="AT17" i="2"/>
  <c r="AT14" i="2"/>
  <c r="AT13" i="2"/>
  <c r="AT21" i="2"/>
  <c r="AT16" i="2"/>
  <c r="AT28" i="2"/>
  <c r="AT26" i="2"/>
  <c r="AT24" i="2"/>
  <c r="AT18" i="2"/>
  <c r="AT12" i="2"/>
  <c r="AT11" i="2"/>
  <c r="AT9" i="2"/>
  <c r="AT19" i="2"/>
  <c r="AU7" i="2"/>
  <c r="AU31" i="3" l="1"/>
  <c r="AU29" i="3"/>
  <c r="AU35" i="3"/>
  <c r="AU33" i="3"/>
  <c r="AU26" i="3"/>
  <c r="AU25" i="3"/>
  <c r="AU15" i="3"/>
  <c r="AU34" i="3"/>
  <c r="AU21" i="3"/>
  <c r="AU19" i="3"/>
  <c r="AU17" i="3"/>
  <c r="AU30" i="3"/>
  <c r="AU27" i="3"/>
  <c r="AU28" i="3"/>
  <c r="AU24" i="3"/>
  <c r="AU23" i="3"/>
  <c r="AU14" i="3"/>
  <c r="AU12" i="3"/>
  <c r="AV7" i="3"/>
  <c r="AU22" i="3"/>
  <c r="AU20" i="3"/>
  <c r="AU16" i="3"/>
  <c r="AU32" i="3"/>
  <c r="AU18" i="3"/>
  <c r="AU13" i="3"/>
  <c r="AU11" i="3"/>
  <c r="AU9" i="3"/>
  <c r="AU33" i="4"/>
  <c r="AU31" i="4"/>
  <c r="AU23" i="4"/>
  <c r="AU34" i="4"/>
  <c r="AU26" i="4"/>
  <c r="AU35" i="4"/>
  <c r="AU32" i="4"/>
  <c r="AU13" i="4"/>
  <c r="AU27" i="4"/>
  <c r="AU30" i="4"/>
  <c r="AU20" i="4"/>
  <c r="AU29" i="4"/>
  <c r="AU25" i="4"/>
  <c r="AU22" i="4"/>
  <c r="AU21" i="4"/>
  <c r="AU19" i="4"/>
  <c r="AV7" i="4"/>
  <c r="AU18" i="4"/>
  <c r="AU12" i="4"/>
  <c r="AU28" i="4"/>
  <c r="AU24" i="4"/>
  <c r="AU16" i="4"/>
  <c r="AU11" i="4"/>
  <c r="AU15" i="4"/>
  <c r="AU14" i="4"/>
  <c r="AU9" i="4"/>
  <c r="AU17" i="4"/>
  <c r="AU30" i="2"/>
  <c r="AU22" i="2"/>
  <c r="AU27" i="2"/>
  <c r="AU25" i="2"/>
  <c r="AU17" i="2"/>
  <c r="AU14" i="2"/>
  <c r="AU13" i="2"/>
  <c r="AU19" i="2"/>
  <c r="AU28" i="2"/>
  <c r="AU26" i="2"/>
  <c r="AU24" i="2"/>
  <c r="AU18" i="2"/>
  <c r="AU29" i="2"/>
  <c r="AU20" i="2"/>
  <c r="AU11" i="2"/>
  <c r="AU21" i="2"/>
  <c r="AU16" i="2"/>
  <c r="AU9" i="2"/>
  <c r="AU15" i="2"/>
  <c r="AU12" i="2"/>
  <c r="AV7" i="2"/>
  <c r="AV27" i="2" l="1"/>
  <c r="AV25" i="2"/>
  <c r="AV17" i="2"/>
  <c r="AV14" i="2"/>
  <c r="AV13" i="2"/>
  <c r="AV19" i="2"/>
  <c r="AV21" i="2"/>
  <c r="AV16" i="2"/>
  <c r="AV29" i="2"/>
  <c r="AV20" i="2"/>
  <c r="AV15" i="2"/>
  <c r="AV30" i="2"/>
  <c r="AV22" i="2"/>
  <c r="AV9" i="2"/>
  <c r="AV26" i="2"/>
  <c r="AW7" i="2"/>
  <c r="AV12" i="2"/>
  <c r="AV28" i="2"/>
  <c r="AV24" i="2"/>
  <c r="AV11" i="2"/>
  <c r="AV18" i="2"/>
  <c r="AV34" i="4"/>
  <c r="AV27" i="4"/>
  <c r="AV25" i="4"/>
  <c r="AV29" i="4"/>
  <c r="AV16" i="4"/>
  <c r="AV32" i="4"/>
  <c r="AV24" i="4"/>
  <c r="AV33" i="4"/>
  <c r="AV31" i="4"/>
  <c r="AV28" i="4"/>
  <c r="AV15" i="4"/>
  <c r="AV22" i="4"/>
  <c r="AV21" i="4"/>
  <c r="AV26" i="4"/>
  <c r="AV18" i="4"/>
  <c r="AV12" i="4"/>
  <c r="AV17" i="4"/>
  <c r="AV14" i="4"/>
  <c r="AV13" i="4"/>
  <c r="AV11" i="4"/>
  <c r="AV35" i="4"/>
  <c r="AV23" i="4"/>
  <c r="AV20" i="4"/>
  <c r="AV19" i="4"/>
  <c r="AV30" i="4"/>
  <c r="AW7" i="4"/>
  <c r="AV9" i="4"/>
  <c r="AV35" i="3"/>
  <c r="AV33" i="3"/>
  <c r="AV22" i="3"/>
  <c r="AV28" i="3"/>
  <c r="AV34" i="3"/>
  <c r="AV31" i="3"/>
  <c r="AV21" i="3"/>
  <c r="AV19" i="3"/>
  <c r="AV17" i="3"/>
  <c r="AV30" i="3"/>
  <c r="AV27" i="3"/>
  <c r="AV16" i="3"/>
  <c r="AV26" i="3"/>
  <c r="AV25" i="3"/>
  <c r="AV29" i="3"/>
  <c r="AV20" i="3"/>
  <c r="AV15" i="3"/>
  <c r="AV13" i="3"/>
  <c r="AV11" i="3"/>
  <c r="AV24" i="3"/>
  <c r="AV14" i="3"/>
  <c r="AV12" i="3"/>
  <c r="AV18" i="3"/>
  <c r="AV23" i="3"/>
  <c r="AV9" i="3"/>
  <c r="AV32" i="3"/>
  <c r="AW7" i="3"/>
  <c r="AW29" i="2" l="1"/>
  <c r="AW19" i="2"/>
  <c r="AW21" i="2"/>
  <c r="AW16" i="2"/>
  <c r="AW28" i="2"/>
  <c r="AW26" i="2"/>
  <c r="AW24" i="2"/>
  <c r="AW18" i="2"/>
  <c r="AW12" i="2"/>
  <c r="AW30" i="2"/>
  <c r="AW22" i="2"/>
  <c r="AW27" i="2"/>
  <c r="AW25" i="2"/>
  <c r="AW9" i="2"/>
  <c r="AX7" i="2"/>
  <c r="AW15" i="2"/>
  <c r="AW13" i="2"/>
  <c r="AW17" i="2"/>
  <c r="AW11" i="2"/>
  <c r="AW20" i="2"/>
  <c r="AW14" i="2"/>
  <c r="AW28" i="3"/>
  <c r="AW26" i="3"/>
  <c r="AW24" i="3"/>
  <c r="AW32" i="3"/>
  <c r="AW30" i="3"/>
  <c r="AW27" i="3"/>
  <c r="AW35" i="3"/>
  <c r="AW16" i="3"/>
  <c r="AW33" i="3"/>
  <c r="AW22" i="3"/>
  <c r="AW20" i="3"/>
  <c r="AW18" i="3"/>
  <c r="AW34" i="3"/>
  <c r="AW31" i="3"/>
  <c r="AW21" i="3"/>
  <c r="AW19" i="3"/>
  <c r="AW17" i="3"/>
  <c r="AW15" i="3"/>
  <c r="AW25" i="3"/>
  <c r="AW13" i="3"/>
  <c r="AW11" i="3"/>
  <c r="AW23" i="3"/>
  <c r="AW14" i="3"/>
  <c r="AW12" i="3"/>
  <c r="AW29" i="3"/>
  <c r="AW9" i="3"/>
  <c r="AX7" i="3"/>
  <c r="AW31" i="4"/>
  <c r="AW29" i="4"/>
  <c r="AW34" i="4"/>
  <c r="AW28" i="4"/>
  <c r="AW27" i="4"/>
  <c r="AW26" i="4"/>
  <c r="AW25" i="4"/>
  <c r="AW22" i="4"/>
  <c r="AW20" i="4"/>
  <c r="AW18" i="4"/>
  <c r="AW30" i="4"/>
  <c r="AW35" i="4"/>
  <c r="AW23" i="4"/>
  <c r="AW16" i="4"/>
  <c r="AW24" i="4"/>
  <c r="AW32" i="4"/>
  <c r="AW33" i="4"/>
  <c r="AW21" i="4"/>
  <c r="AW12" i="4"/>
  <c r="AW17" i="4"/>
  <c r="AW14" i="4"/>
  <c r="AW13" i="4"/>
  <c r="AW11" i="4"/>
  <c r="AW15" i="4"/>
  <c r="AW19" i="4"/>
  <c r="AX7" i="4"/>
  <c r="AW9" i="4"/>
  <c r="AX30" i="2" l="1"/>
  <c r="AX21" i="2"/>
  <c r="AX16" i="2"/>
  <c r="AX28" i="2"/>
  <c r="AX26" i="2"/>
  <c r="AX24" i="2"/>
  <c r="AX18" i="2"/>
  <c r="AX20" i="2"/>
  <c r="AX15" i="2"/>
  <c r="AX27" i="2"/>
  <c r="AX25" i="2"/>
  <c r="AX17" i="2"/>
  <c r="AX19" i="2"/>
  <c r="AY7" i="2"/>
  <c r="AX12" i="2"/>
  <c r="AX11" i="2"/>
  <c r="AX29" i="2"/>
  <c r="AX13" i="2"/>
  <c r="AX14" i="2"/>
  <c r="AX9" i="2"/>
  <c r="AX22" i="2"/>
  <c r="AX33" i="4"/>
  <c r="AX35" i="4"/>
  <c r="AX32" i="4"/>
  <c r="AX27" i="4"/>
  <c r="AX24" i="4"/>
  <c r="AX28" i="4"/>
  <c r="AX29" i="4"/>
  <c r="AX26" i="4"/>
  <c r="AX25" i="4"/>
  <c r="AX34" i="4"/>
  <c r="AX17" i="4"/>
  <c r="AX14" i="4"/>
  <c r="AX12" i="4"/>
  <c r="AX30" i="4"/>
  <c r="AX21" i="4"/>
  <c r="AX23" i="4"/>
  <c r="AX13" i="4"/>
  <c r="AX11" i="4"/>
  <c r="AX15" i="4"/>
  <c r="AX31" i="4"/>
  <c r="AX22" i="4"/>
  <c r="AX20" i="4"/>
  <c r="AX16" i="4"/>
  <c r="AX18" i="4"/>
  <c r="AX9" i="4"/>
  <c r="AX19" i="4"/>
  <c r="AY7" i="4"/>
  <c r="AX32" i="3"/>
  <c r="AX30" i="3"/>
  <c r="AX35" i="3"/>
  <c r="AX16" i="3"/>
  <c r="AX33" i="3"/>
  <c r="AX22" i="3"/>
  <c r="AX20" i="3"/>
  <c r="AX18" i="3"/>
  <c r="AX29" i="3"/>
  <c r="AX23" i="3"/>
  <c r="AX27" i="3"/>
  <c r="AX25" i="3"/>
  <c r="AX21" i="3"/>
  <c r="AX13" i="3"/>
  <c r="AX11" i="3"/>
  <c r="AX34" i="3"/>
  <c r="AX28" i="3"/>
  <c r="AX19" i="3"/>
  <c r="AX9" i="3"/>
  <c r="AX31" i="3"/>
  <c r="AX24" i="3"/>
  <c r="AX17" i="3"/>
  <c r="AX15" i="3"/>
  <c r="AX26" i="3"/>
  <c r="AX12" i="3"/>
  <c r="AY7" i="3"/>
  <c r="AX14" i="3"/>
  <c r="AY28" i="2" l="1"/>
  <c r="AY26" i="2"/>
  <c r="AY24" i="2"/>
  <c r="AY18" i="2"/>
  <c r="AY12" i="2"/>
  <c r="AY20" i="2"/>
  <c r="AY15" i="2"/>
  <c r="AY29" i="2"/>
  <c r="AY22" i="2"/>
  <c r="AY19" i="2"/>
  <c r="AY21" i="2"/>
  <c r="AY25" i="2"/>
  <c r="AY17" i="2"/>
  <c r="AY13" i="2"/>
  <c r="AY14" i="2"/>
  <c r="AY16" i="2"/>
  <c r="AY11" i="2"/>
  <c r="AY9" i="2"/>
  <c r="AY30" i="2"/>
  <c r="AZ7" i="2"/>
  <c r="AY6" i="2"/>
  <c r="AY27" i="2"/>
  <c r="AY28" i="4"/>
  <c r="AY30" i="4"/>
  <c r="AY29" i="4"/>
  <c r="AY26" i="4"/>
  <c r="AY34" i="4"/>
  <c r="AY15" i="4"/>
  <c r="AY35" i="4"/>
  <c r="AY23" i="4"/>
  <c r="AY32" i="4"/>
  <c r="AY27" i="4"/>
  <c r="AY24" i="4"/>
  <c r="AY31" i="4"/>
  <c r="AY19" i="4"/>
  <c r="AY18" i="4"/>
  <c r="AY33" i="4"/>
  <c r="AY22" i="4"/>
  <c r="AY25" i="4"/>
  <c r="AY17" i="4"/>
  <c r="AY14" i="4"/>
  <c r="AY21" i="4"/>
  <c r="AY13" i="4"/>
  <c r="AY20" i="4"/>
  <c r="AY16" i="4"/>
  <c r="AY9" i="4"/>
  <c r="AZ7" i="4"/>
  <c r="AY11" i="4"/>
  <c r="AY12" i="4"/>
  <c r="AY6" i="4"/>
  <c r="AY35" i="3"/>
  <c r="AY34" i="3"/>
  <c r="AY27" i="3"/>
  <c r="AY33" i="3"/>
  <c r="AY30" i="3"/>
  <c r="AY22" i="3"/>
  <c r="AY20" i="3"/>
  <c r="AY18" i="3"/>
  <c r="AY29" i="3"/>
  <c r="AY23" i="3"/>
  <c r="AY32" i="3"/>
  <c r="AY25" i="3"/>
  <c r="AY24" i="3"/>
  <c r="AY15" i="3"/>
  <c r="AY28" i="3"/>
  <c r="AY19" i="3"/>
  <c r="AY16" i="3"/>
  <c r="AY9" i="3"/>
  <c r="AY26" i="3"/>
  <c r="AY14" i="3"/>
  <c r="AY12" i="3"/>
  <c r="AZ7" i="3"/>
  <c r="AY21" i="3"/>
  <c r="AY13" i="3"/>
  <c r="AY11" i="3"/>
  <c r="AY31" i="3"/>
  <c r="AY6" i="3"/>
  <c r="AY17" i="3"/>
  <c r="AZ35" i="4" l="1"/>
  <c r="AZ32" i="4"/>
  <c r="AZ30" i="4"/>
  <c r="AZ31" i="4"/>
  <c r="AZ21" i="4"/>
  <c r="AZ19" i="4"/>
  <c r="AZ17" i="4"/>
  <c r="AZ33" i="4"/>
  <c r="AZ34" i="4"/>
  <c r="AZ20" i="4"/>
  <c r="AZ29" i="4"/>
  <c r="AZ26" i="4"/>
  <c r="AZ23" i="4"/>
  <c r="AZ28" i="4"/>
  <c r="AZ18" i="4"/>
  <c r="AZ15" i="4"/>
  <c r="AZ9" i="4"/>
  <c r="AZ25" i="4"/>
  <c r="AZ22" i="4"/>
  <c r="AZ16" i="4"/>
  <c r="AZ27" i="4"/>
  <c r="AZ24" i="4"/>
  <c r="AZ13" i="4"/>
  <c r="AZ14" i="4"/>
  <c r="AZ12" i="4"/>
  <c r="AZ11" i="4"/>
  <c r="BA7" i="4"/>
  <c r="AZ30" i="2"/>
  <c r="AZ28" i="2"/>
  <c r="AZ20" i="2"/>
  <c r="AZ15" i="2"/>
  <c r="AZ29" i="2"/>
  <c r="AZ22" i="2"/>
  <c r="AZ27" i="2"/>
  <c r="AZ25" i="2"/>
  <c r="AZ17" i="2"/>
  <c r="AZ14" i="2"/>
  <c r="AZ13" i="2"/>
  <c r="AZ21" i="2"/>
  <c r="AZ16" i="2"/>
  <c r="AZ26" i="2"/>
  <c r="AZ24" i="2"/>
  <c r="AZ18" i="2"/>
  <c r="AZ11" i="2"/>
  <c r="AZ9" i="2"/>
  <c r="AZ12" i="2"/>
  <c r="AZ19" i="2"/>
  <c r="BA7" i="2"/>
  <c r="AZ34" i="3"/>
  <c r="AZ27" i="3"/>
  <c r="AZ25" i="3"/>
  <c r="AZ23" i="3"/>
  <c r="AZ31" i="3"/>
  <c r="AZ29" i="3"/>
  <c r="AZ32" i="3"/>
  <c r="AZ24" i="3"/>
  <c r="AZ15" i="3"/>
  <c r="AZ28" i="3"/>
  <c r="AZ26" i="3"/>
  <c r="AZ21" i="3"/>
  <c r="AZ19" i="3"/>
  <c r="AZ17" i="3"/>
  <c r="AZ35" i="3"/>
  <c r="AZ33" i="3"/>
  <c r="AZ30" i="3"/>
  <c r="AZ22" i="3"/>
  <c r="AZ20" i="3"/>
  <c r="AZ18" i="3"/>
  <c r="AZ16" i="3"/>
  <c r="AZ9" i="3"/>
  <c r="AZ14" i="3"/>
  <c r="AZ12" i="3"/>
  <c r="AZ13" i="3"/>
  <c r="BA7" i="3"/>
  <c r="AZ11" i="3"/>
  <c r="BA32" i="4" l="1"/>
  <c r="BA35" i="4"/>
  <c r="BA30" i="4"/>
  <c r="BA28" i="4"/>
  <c r="BA23" i="4"/>
  <c r="BA31" i="4"/>
  <c r="BA25" i="4"/>
  <c r="BA27" i="4"/>
  <c r="BA24" i="4"/>
  <c r="BA22" i="4"/>
  <c r="BA21" i="4"/>
  <c r="BA13" i="4"/>
  <c r="BA34" i="4"/>
  <c r="BA20" i="4"/>
  <c r="BA19" i="4"/>
  <c r="BB7" i="4"/>
  <c r="BA16" i="4"/>
  <c r="BA18" i="4"/>
  <c r="BA14" i="4"/>
  <c r="BA33" i="4"/>
  <c r="BA26" i="4"/>
  <c r="BA17" i="4"/>
  <c r="BA15" i="4"/>
  <c r="BA12" i="4"/>
  <c r="BA29" i="4"/>
  <c r="BA9" i="4"/>
  <c r="BA11" i="4"/>
  <c r="BA29" i="2"/>
  <c r="BA22" i="2"/>
  <c r="BA27" i="2"/>
  <c r="BA25" i="2"/>
  <c r="BA17" i="2"/>
  <c r="BA14" i="2"/>
  <c r="BA13" i="2"/>
  <c r="BA30" i="2"/>
  <c r="BA19" i="2"/>
  <c r="BA26" i="2"/>
  <c r="BA24" i="2"/>
  <c r="BA18" i="2"/>
  <c r="BA28" i="2"/>
  <c r="BA20" i="2"/>
  <c r="BA21" i="2"/>
  <c r="BA11" i="2"/>
  <c r="BA16" i="2"/>
  <c r="BA12" i="2"/>
  <c r="BA15" i="2"/>
  <c r="BA9" i="2"/>
  <c r="BB7" i="2"/>
  <c r="BA31" i="3"/>
  <c r="BA29" i="3"/>
  <c r="BA33" i="3"/>
  <c r="BA32" i="3"/>
  <c r="BA24" i="3"/>
  <c r="BA23" i="3"/>
  <c r="BA15" i="3"/>
  <c r="BA28" i="3"/>
  <c r="BA26" i="3"/>
  <c r="BA25" i="3"/>
  <c r="BA21" i="3"/>
  <c r="BA19" i="3"/>
  <c r="BA17" i="3"/>
  <c r="BA35" i="3"/>
  <c r="BA34" i="3"/>
  <c r="BA22" i="3"/>
  <c r="BA20" i="3"/>
  <c r="BA14" i="3"/>
  <c r="BA12" i="3"/>
  <c r="BB7" i="3"/>
  <c r="BA27" i="3"/>
  <c r="BA18" i="3"/>
  <c r="BA30" i="3"/>
  <c r="BA16" i="3"/>
  <c r="BA9" i="3"/>
  <c r="BA11" i="3"/>
  <c r="BA13" i="3"/>
  <c r="BB34" i="4" l="1"/>
  <c r="BB27" i="4"/>
  <c r="BB33" i="4"/>
  <c r="BB25" i="4"/>
  <c r="BB16" i="4"/>
  <c r="BB29" i="4"/>
  <c r="BB26" i="4"/>
  <c r="BB24" i="4"/>
  <c r="BB30" i="4"/>
  <c r="BB28" i="4"/>
  <c r="BB32" i="4"/>
  <c r="BB20" i="4"/>
  <c r="BB35" i="4"/>
  <c r="BB31" i="4"/>
  <c r="BB22" i="4"/>
  <c r="BB21" i="4"/>
  <c r="BB19" i="4"/>
  <c r="BB12" i="4"/>
  <c r="BB11" i="4"/>
  <c r="BB17" i="4"/>
  <c r="BB15" i="4"/>
  <c r="BB14" i="4"/>
  <c r="BB23" i="4"/>
  <c r="BB18" i="4"/>
  <c r="BB9" i="4"/>
  <c r="BB13" i="4"/>
  <c r="BC7" i="4"/>
  <c r="BB27" i="2"/>
  <c r="BB25" i="2"/>
  <c r="BB17" i="2"/>
  <c r="BB14" i="2"/>
  <c r="BB13" i="2"/>
  <c r="BB30" i="2"/>
  <c r="BB19" i="2"/>
  <c r="BB21" i="2"/>
  <c r="BB16" i="2"/>
  <c r="BB28" i="2"/>
  <c r="BB20" i="2"/>
  <c r="BB15" i="2"/>
  <c r="BB29" i="2"/>
  <c r="BB22" i="2"/>
  <c r="BB12" i="2"/>
  <c r="BB9" i="2"/>
  <c r="BB26" i="2"/>
  <c r="BB18" i="2"/>
  <c r="BC7" i="2"/>
  <c r="BB24" i="2"/>
  <c r="BB11" i="2"/>
  <c r="BB33" i="3"/>
  <c r="BB22" i="3"/>
  <c r="BB35" i="3"/>
  <c r="BB28" i="3"/>
  <c r="BB29" i="3"/>
  <c r="BB26" i="3"/>
  <c r="BB25" i="3"/>
  <c r="BB21" i="3"/>
  <c r="BB19" i="3"/>
  <c r="BB17" i="3"/>
  <c r="BB34" i="3"/>
  <c r="BB31" i="3"/>
  <c r="BB16" i="3"/>
  <c r="BB32" i="3"/>
  <c r="BB24" i="3"/>
  <c r="BB23" i="3"/>
  <c r="BB27" i="3"/>
  <c r="BB18" i="3"/>
  <c r="BB13" i="3"/>
  <c r="BB11" i="3"/>
  <c r="BB15" i="3"/>
  <c r="BB20" i="3"/>
  <c r="BB14" i="3"/>
  <c r="BB12" i="3"/>
  <c r="BB9" i="3"/>
  <c r="BC7" i="3"/>
  <c r="BB30" i="3"/>
  <c r="BC29" i="2" l="1"/>
  <c r="BC30" i="2"/>
  <c r="BC19" i="2"/>
  <c r="BC21" i="2"/>
  <c r="BC16" i="2"/>
  <c r="BC26" i="2"/>
  <c r="BC24" i="2"/>
  <c r="BC18" i="2"/>
  <c r="BC12" i="2"/>
  <c r="BC22" i="2"/>
  <c r="BC27" i="2"/>
  <c r="BC25" i="2"/>
  <c r="BC17" i="2"/>
  <c r="BC13" i="2"/>
  <c r="BC9" i="2"/>
  <c r="BC15" i="2"/>
  <c r="BD7" i="2"/>
  <c r="BC14" i="2"/>
  <c r="BC28" i="2"/>
  <c r="BC20" i="2"/>
  <c r="BC11" i="2"/>
  <c r="BC31" i="4"/>
  <c r="BC29" i="4"/>
  <c r="BC35" i="4"/>
  <c r="BC33" i="4"/>
  <c r="BC22" i="4"/>
  <c r="BC20" i="4"/>
  <c r="BC18" i="4"/>
  <c r="BC27" i="4"/>
  <c r="BC15" i="4"/>
  <c r="BC26" i="4"/>
  <c r="BC25" i="4"/>
  <c r="BC23" i="4"/>
  <c r="BC34" i="4"/>
  <c r="BC28" i="4"/>
  <c r="BC21" i="4"/>
  <c r="BC24" i="4"/>
  <c r="BC16" i="4"/>
  <c r="BC32" i="4"/>
  <c r="BC19" i="4"/>
  <c r="BC12" i="4"/>
  <c r="BC11" i="4"/>
  <c r="BC30" i="4"/>
  <c r="BC14" i="4"/>
  <c r="BC13" i="4"/>
  <c r="BD7" i="4"/>
  <c r="BC17" i="4"/>
  <c r="BC9" i="4"/>
  <c r="BC35" i="3"/>
  <c r="BC28" i="3"/>
  <c r="BC26" i="3"/>
  <c r="BC24" i="3"/>
  <c r="BC32" i="3"/>
  <c r="BC30" i="3"/>
  <c r="BC34" i="3"/>
  <c r="BC31" i="3"/>
  <c r="BC16" i="3"/>
  <c r="BC27" i="3"/>
  <c r="BC20" i="3"/>
  <c r="BC18" i="3"/>
  <c r="BC29" i="3"/>
  <c r="BC25" i="3"/>
  <c r="BC21" i="3"/>
  <c r="BC19" i="3"/>
  <c r="BC17" i="3"/>
  <c r="BC23" i="3"/>
  <c r="BC13" i="3"/>
  <c r="BC11" i="3"/>
  <c r="BC33" i="3"/>
  <c r="BC14" i="3"/>
  <c r="BC12" i="3"/>
  <c r="BC22" i="3"/>
  <c r="BC15" i="3"/>
  <c r="BC9" i="3"/>
  <c r="BD7" i="3"/>
  <c r="BD33" i="4" l="1"/>
  <c r="BD34" i="4"/>
  <c r="BD28" i="4"/>
  <c r="BD27" i="4"/>
  <c r="BD31" i="4"/>
  <c r="BD26" i="4"/>
  <c r="BD25" i="4"/>
  <c r="BD24" i="4"/>
  <c r="BD32" i="4"/>
  <c r="BD35" i="4"/>
  <c r="BD30" i="4"/>
  <c r="BD16" i="4"/>
  <c r="BD14" i="4"/>
  <c r="BD12" i="4"/>
  <c r="BD29" i="4"/>
  <c r="BD22" i="4"/>
  <c r="BD19" i="4"/>
  <c r="BD11" i="4"/>
  <c r="BD13" i="4"/>
  <c r="BD23" i="4"/>
  <c r="BD20" i="4"/>
  <c r="BD18" i="4"/>
  <c r="BD17" i="4"/>
  <c r="BD21" i="4"/>
  <c r="BD15" i="4"/>
  <c r="BE7" i="4"/>
  <c r="BD9" i="4"/>
  <c r="BD32" i="3"/>
  <c r="BD30" i="3"/>
  <c r="BD34" i="3"/>
  <c r="BD31" i="3"/>
  <c r="BD28" i="3"/>
  <c r="BD16" i="3"/>
  <c r="BD27" i="3"/>
  <c r="BD20" i="3"/>
  <c r="BD18" i="3"/>
  <c r="BD22" i="3"/>
  <c r="BD26" i="3"/>
  <c r="BD23" i="3"/>
  <c r="BD19" i="3"/>
  <c r="BD13" i="3"/>
  <c r="BD11" i="3"/>
  <c r="BD33" i="3"/>
  <c r="BD17" i="3"/>
  <c r="BD15" i="3"/>
  <c r="BD9" i="3"/>
  <c r="BD29" i="3"/>
  <c r="BD21" i="3"/>
  <c r="BD35" i="3"/>
  <c r="BD25" i="3"/>
  <c r="BD14" i="3"/>
  <c r="BD24" i="3"/>
  <c r="BD12" i="3"/>
  <c r="BE7" i="3"/>
  <c r="BD30" i="2"/>
  <c r="BD21" i="2"/>
  <c r="BD16" i="2"/>
  <c r="BD26" i="2"/>
  <c r="BD24" i="2"/>
  <c r="BD18" i="2"/>
  <c r="BD28" i="2"/>
  <c r="BD20" i="2"/>
  <c r="BD15" i="2"/>
  <c r="BD29" i="2"/>
  <c r="BD27" i="2"/>
  <c r="BD25" i="2"/>
  <c r="BD17" i="2"/>
  <c r="BD19" i="2"/>
  <c r="BE7" i="2"/>
  <c r="BD14" i="2"/>
  <c r="BD22" i="2"/>
  <c r="BD13" i="2"/>
  <c r="BD12" i="2"/>
  <c r="BD9" i="2"/>
  <c r="BD11" i="2"/>
  <c r="BE35" i="3" l="1"/>
  <c r="BE34" i="3"/>
  <c r="BE27" i="3"/>
  <c r="BE20" i="3"/>
  <c r="BE18" i="3"/>
  <c r="BE22" i="3"/>
  <c r="BE33" i="3"/>
  <c r="BE30" i="3"/>
  <c r="BE23" i="3"/>
  <c r="BE15" i="3"/>
  <c r="BE31" i="3"/>
  <c r="BE28" i="3"/>
  <c r="BE26" i="3"/>
  <c r="BE17" i="3"/>
  <c r="BE9" i="3"/>
  <c r="BE32" i="3"/>
  <c r="BE24" i="3"/>
  <c r="BE14" i="3"/>
  <c r="BE12" i="3"/>
  <c r="BF7" i="3"/>
  <c r="BE25" i="3"/>
  <c r="BE16" i="3"/>
  <c r="BE19" i="3"/>
  <c r="BE13" i="3"/>
  <c r="BE11" i="3"/>
  <c r="BE21" i="3"/>
  <c r="BE29" i="3"/>
  <c r="BE28" i="2"/>
  <c r="BE26" i="2"/>
  <c r="BE24" i="2"/>
  <c r="BE18" i="2"/>
  <c r="BE12" i="2"/>
  <c r="BE20" i="2"/>
  <c r="BE15" i="2"/>
  <c r="BE22" i="2"/>
  <c r="BE19" i="2"/>
  <c r="BE30" i="2"/>
  <c r="BE21" i="2"/>
  <c r="BE17" i="2"/>
  <c r="BE16" i="2"/>
  <c r="BE14" i="2"/>
  <c r="BE29" i="2"/>
  <c r="BE27" i="2"/>
  <c r="BE11" i="2"/>
  <c r="BE13" i="2"/>
  <c r="BE9" i="2"/>
  <c r="BE25" i="2"/>
  <c r="BF7" i="2"/>
  <c r="BE28" i="4"/>
  <c r="BE35" i="4"/>
  <c r="BE26" i="4"/>
  <c r="BE29" i="4"/>
  <c r="BE15" i="4"/>
  <c r="BE34" i="4"/>
  <c r="BE30" i="4"/>
  <c r="BE23" i="4"/>
  <c r="BE33" i="4"/>
  <c r="BE31" i="4"/>
  <c r="BE25" i="4"/>
  <c r="BE24" i="4"/>
  <c r="BE17" i="4"/>
  <c r="BE32" i="4"/>
  <c r="BE21" i="4"/>
  <c r="BE20" i="4"/>
  <c r="BE27" i="4"/>
  <c r="BE22" i="4"/>
  <c r="BE13" i="4"/>
  <c r="BE12" i="4"/>
  <c r="BE18" i="4"/>
  <c r="BE14" i="4"/>
  <c r="BE19" i="4"/>
  <c r="BE16" i="4"/>
  <c r="BE9" i="4"/>
  <c r="BE11" i="4"/>
  <c r="BF7" i="4"/>
  <c r="BF30" i="2" l="1"/>
  <c r="BF20" i="2"/>
  <c r="BF15" i="2"/>
  <c r="BF28" i="2"/>
  <c r="BF22" i="2"/>
  <c r="BF29" i="2"/>
  <c r="BF27" i="2"/>
  <c r="BF25" i="2"/>
  <c r="BF17" i="2"/>
  <c r="BF14" i="2"/>
  <c r="BF13" i="2"/>
  <c r="BF21" i="2"/>
  <c r="BF16" i="2"/>
  <c r="BF26" i="2"/>
  <c r="BF24" i="2"/>
  <c r="BF18" i="2"/>
  <c r="BF6" i="2"/>
  <c r="BG7" i="2"/>
  <c r="BF11" i="2"/>
  <c r="BF9" i="2"/>
  <c r="BF12" i="2"/>
  <c r="BF19" i="2"/>
  <c r="BF35" i="4"/>
  <c r="BF32" i="4"/>
  <c r="BF30" i="4"/>
  <c r="BF29" i="4"/>
  <c r="BF27" i="4"/>
  <c r="BF21" i="4"/>
  <c r="BF19" i="4"/>
  <c r="BF17" i="4"/>
  <c r="BF26" i="4"/>
  <c r="BF33" i="4"/>
  <c r="BF23" i="4"/>
  <c r="BF18" i="4"/>
  <c r="BF22" i="4"/>
  <c r="BF31" i="4"/>
  <c r="BF24" i="4"/>
  <c r="BF25" i="4"/>
  <c r="BF14" i="4"/>
  <c r="BF9" i="4"/>
  <c r="BF20" i="4"/>
  <c r="BF15" i="4"/>
  <c r="BF34" i="4"/>
  <c r="BF16" i="4"/>
  <c r="BF13" i="4"/>
  <c r="BF11" i="4"/>
  <c r="BG7" i="4"/>
  <c r="BF6" i="4"/>
  <c r="BF12" i="4"/>
  <c r="BF28" i="4"/>
  <c r="BF34" i="3"/>
  <c r="BF27" i="3"/>
  <c r="BF25" i="3"/>
  <c r="BF23" i="3"/>
  <c r="BF31" i="3"/>
  <c r="BF29" i="3"/>
  <c r="BF22" i="3"/>
  <c r="BF33" i="3"/>
  <c r="BF30" i="3"/>
  <c r="BF15" i="3"/>
  <c r="BF35" i="3"/>
  <c r="BF24" i="3"/>
  <c r="BF21" i="3"/>
  <c r="BF19" i="3"/>
  <c r="BF17" i="3"/>
  <c r="BF20" i="3"/>
  <c r="BF18" i="3"/>
  <c r="BF26" i="3"/>
  <c r="BF9" i="3"/>
  <c r="BF32" i="3"/>
  <c r="BF14" i="3"/>
  <c r="BF12" i="3"/>
  <c r="BF13" i="3"/>
  <c r="BF28" i="3"/>
  <c r="BF6" i="3"/>
  <c r="BF16" i="3"/>
  <c r="BF11" i="3"/>
  <c r="BG7" i="3"/>
  <c r="BG28" i="2" l="1"/>
  <c r="BG22" i="2"/>
  <c r="BG29" i="2"/>
  <c r="BG27" i="2"/>
  <c r="BG25" i="2"/>
  <c r="BG17" i="2"/>
  <c r="BG14" i="2"/>
  <c r="BG13" i="2"/>
  <c r="BG19" i="2"/>
  <c r="BG30" i="2"/>
  <c r="BG26" i="2"/>
  <c r="BG24" i="2"/>
  <c r="BG18" i="2"/>
  <c r="BG20" i="2"/>
  <c r="BG15" i="2"/>
  <c r="BG11" i="2"/>
  <c r="BG12" i="2"/>
  <c r="BG9" i="2"/>
  <c r="BG21" i="2"/>
  <c r="BG16" i="2"/>
  <c r="BH7" i="2"/>
  <c r="BG31" i="4"/>
  <c r="BG30" i="4"/>
  <c r="BG34" i="4"/>
  <c r="BG32" i="4"/>
  <c r="BG23" i="4"/>
  <c r="BG28" i="4"/>
  <c r="BG29" i="4"/>
  <c r="BG27" i="4"/>
  <c r="BG25" i="4"/>
  <c r="BG20" i="4"/>
  <c r="BG19" i="4"/>
  <c r="BG13" i="4"/>
  <c r="BG35" i="4"/>
  <c r="BG33" i="4"/>
  <c r="BG18" i="4"/>
  <c r="BH7" i="4"/>
  <c r="BG17" i="4"/>
  <c r="BG15" i="4"/>
  <c r="BG26" i="4"/>
  <c r="BG22" i="4"/>
  <c r="BG14" i="4"/>
  <c r="BG11" i="4"/>
  <c r="BG9" i="4"/>
  <c r="BG24" i="4"/>
  <c r="BG12" i="4"/>
  <c r="BG16" i="4"/>
  <c r="BG21" i="4"/>
  <c r="BG31" i="3"/>
  <c r="BG29" i="3"/>
  <c r="BG33" i="3"/>
  <c r="BG30" i="3"/>
  <c r="BG27" i="3"/>
  <c r="BG15" i="3"/>
  <c r="BG35" i="3"/>
  <c r="BG24" i="3"/>
  <c r="BG23" i="3"/>
  <c r="BG21" i="3"/>
  <c r="BG19" i="3"/>
  <c r="BG17" i="3"/>
  <c r="BG32" i="3"/>
  <c r="BG26" i="3"/>
  <c r="BG25" i="3"/>
  <c r="BG34" i="3"/>
  <c r="BG22" i="3"/>
  <c r="BG18" i="3"/>
  <c r="BG14" i="3"/>
  <c r="BG12" i="3"/>
  <c r="BH7" i="3"/>
  <c r="BG16" i="3"/>
  <c r="BG28" i="3"/>
  <c r="BG20" i="3"/>
  <c r="BG11" i="3"/>
  <c r="BG13" i="3"/>
  <c r="BG9" i="3"/>
  <c r="BH34" i="4" l="1"/>
  <c r="BH27" i="4"/>
  <c r="BH32" i="4"/>
  <c r="BH25" i="4"/>
  <c r="BH35" i="4"/>
  <c r="BH16" i="4"/>
  <c r="BH33" i="4"/>
  <c r="BH24" i="4"/>
  <c r="BH26" i="4"/>
  <c r="BH22" i="4"/>
  <c r="BH21" i="4"/>
  <c r="BH28" i="4"/>
  <c r="BH30" i="4"/>
  <c r="BH23" i="4"/>
  <c r="BH20" i="4"/>
  <c r="BH19" i="4"/>
  <c r="BH18" i="4"/>
  <c r="BH17" i="4"/>
  <c r="BH15" i="4"/>
  <c r="BH31" i="4"/>
  <c r="BH29" i="4"/>
  <c r="BH11" i="4"/>
  <c r="BH14" i="4"/>
  <c r="BH13" i="4"/>
  <c r="BH9" i="4"/>
  <c r="BH12" i="4"/>
  <c r="BI7" i="4"/>
  <c r="BH33" i="3"/>
  <c r="BH22" i="3"/>
  <c r="BH28" i="3"/>
  <c r="BH35" i="3"/>
  <c r="BH24" i="3"/>
  <c r="BH23" i="3"/>
  <c r="BH21" i="3"/>
  <c r="BH19" i="3"/>
  <c r="BH17" i="3"/>
  <c r="BH32" i="3"/>
  <c r="BH26" i="3"/>
  <c r="BH25" i="3"/>
  <c r="BH29" i="3"/>
  <c r="BH16" i="3"/>
  <c r="BH30" i="3"/>
  <c r="BH27" i="3"/>
  <c r="BH15" i="3"/>
  <c r="BH31" i="3"/>
  <c r="BH13" i="3"/>
  <c r="BH11" i="3"/>
  <c r="BH34" i="3"/>
  <c r="BH18" i="3"/>
  <c r="BH14" i="3"/>
  <c r="BH12" i="3"/>
  <c r="BI7" i="3"/>
  <c r="BH9" i="3"/>
  <c r="BH20" i="3"/>
  <c r="BH29" i="2"/>
  <c r="BH27" i="2"/>
  <c r="BH25" i="2"/>
  <c r="BH17" i="2"/>
  <c r="BH14" i="2"/>
  <c r="BH13" i="2"/>
  <c r="BH19" i="2"/>
  <c r="BH21" i="2"/>
  <c r="BH16" i="2"/>
  <c r="BH20" i="2"/>
  <c r="BH15" i="2"/>
  <c r="BH28" i="2"/>
  <c r="BH22" i="2"/>
  <c r="BH26" i="2"/>
  <c r="BH18" i="2"/>
  <c r="BH9" i="2"/>
  <c r="BH12" i="2"/>
  <c r="BI7" i="2"/>
  <c r="BH30" i="2"/>
  <c r="BH11" i="2"/>
  <c r="BH24" i="2"/>
  <c r="BI29" i="2" l="1"/>
  <c r="BI19" i="2"/>
  <c r="BI21" i="2"/>
  <c r="BI16" i="2"/>
  <c r="BI30" i="2"/>
  <c r="BI26" i="2"/>
  <c r="BI24" i="2"/>
  <c r="BI18" i="2"/>
  <c r="BI12" i="2"/>
  <c r="BI28" i="2"/>
  <c r="BI22" i="2"/>
  <c r="BI27" i="2"/>
  <c r="BI25" i="2"/>
  <c r="BI17" i="2"/>
  <c r="BI9" i="2"/>
  <c r="BJ7" i="2"/>
  <c r="BI13" i="2"/>
  <c r="BI11" i="2"/>
  <c r="BI15" i="2"/>
  <c r="BI14" i="2"/>
  <c r="BI20" i="2"/>
  <c r="BI28" i="3"/>
  <c r="BI26" i="3"/>
  <c r="BI24" i="3"/>
  <c r="BI35" i="3"/>
  <c r="BI32" i="3"/>
  <c r="BI30" i="3"/>
  <c r="BI33" i="3"/>
  <c r="BI25" i="3"/>
  <c r="BI29" i="3"/>
  <c r="BI16" i="3"/>
  <c r="BI20" i="3"/>
  <c r="BI18" i="3"/>
  <c r="BI23" i="3"/>
  <c r="BI21" i="3"/>
  <c r="BI19" i="3"/>
  <c r="BI17" i="3"/>
  <c r="BI15" i="3"/>
  <c r="BI31" i="3"/>
  <c r="BI13" i="3"/>
  <c r="BI11" i="3"/>
  <c r="BI34" i="3"/>
  <c r="BI22" i="3"/>
  <c r="BI14" i="3"/>
  <c r="BI12" i="3"/>
  <c r="BI27" i="3"/>
  <c r="BJ7" i="3"/>
  <c r="BI9" i="3"/>
  <c r="BI31" i="4"/>
  <c r="BI29" i="4"/>
  <c r="BI33" i="4"/>
  <c r="BI30" i="4"/>
  <c r="BI28" i="4"/>
  <c r="BI22" i="4"/>
  <c r="BI20" i="4"/>
  <c r="BI18" i="4"/>
  <c r="BI26" i="4"/>
  <c r="BI25" i="4"/>
  <c r="BI34" i="4"/>
  <c r="BI32" i="4"/>
  <c r="BI24" i="4"/>
  <c r="BI27" i="4"/>
  <c r="BI23" i="4"/>
  <c r="BI21" i="4"/>
  <c r="BI11" i="4"/>
  <c r="BI16" i="4"/>
  <c r="BI12" i="4"/>
  <c r="BI19" i="4"/>
  <c r="BI17" i="4"/>
  <c r="BI15" i="4"/>
  <c r="BI14" i="4"/>
  <c r="BI13" i="4"/>
  <c r="BI9" i="4"/>
  <c r="BJ7" i="4"/>
  <c r="BI35" i="4"/>
  <c r="BJ35" i="3" l="1"/>
  <c r="BJ32" i="3"/>
  <c r="BJ30" i="3"/>
  <c r="BJ29" i="3"/>
  <c r="BJ26" i="3"/>
  <c r="BJ16" i="3"/>
  <c r="BJ20" i="3"/>
  <c r="BJ18" i="3"/>
  <c r="BJ34" i="3"/>
  <c r="BJ31" i="3"/>
  <c r="BJ28" i="3"/>
  <c r="BJ33" i="3"/>
  <c r="BJ25" i="3"/>
  <c r="BJ24" i="3"/>
  <c r="BJ17" i="3"/>
  <c r="BJ13" i="3"/>
  <c r="BJ11" i="3"/>
  <c r="BJ21" i="3"/>
  <c r="BJ9" i="3"/>
  <c r="BJ27" i="3"/>
  <c r="BJ19" i="3"/>
  <c r="BJ23" i="3"/>
  <c r="BJ15" i="3"/>
  <c r="BJ14" i="3"/>
  <c r="BJ12" i="3"/>
  <c r="BJ22" i="3"/>
  <c r="BK7" i="3"/>
  <c r="BJ30" i="2"/>
  <c r="BJ21" i="2"/>
  <c r="BJ16" i="2"/>
  <c r="BJ26" i="2"/>
  <c r="BJ24" i="2"/>
  <c r="BJ18" i="2"/>
  <c r="BJ20" i="2"/>
  <c r="BJ15" i="2"/>
  <c r="BJ27" i="2"/>
  <c r="BJ25" i="2"/>
  <c r="BJ17" i="2"/>
  <c r="BJ29" i="2"/>
  <c r="BJ19" i="2"/>
  <c r="BK7" i="2"/>
  <c r="BJ22" i="2"/>
  <c r="BJ12" i="2"/>
  <c r="BJ11" i="2"/>
  <c r="BJ13" i="2"/>
  <c r="BJ14" i="2"/>
  <c r="BJ9" i="2"/>
  <c r="BJ28" i="2"/>
  <c r="BJ33" i="4"/>
  <c r="BJ35" i="4"/>
  <c r="BJ24" i="4"/>
  <c r="BJ31" i="4"/>
  <c r="BJ30" i="4"/>
  <c r="BJ28" i="4"/>
  <c r="BJ29" i="4"/>
  <c r="BJ15" i="4"/>
  <c r="BJ14" i="4"/>
  <c r="BJ12" i="4"/>
  <c r="BJ34" i="4"/>
  <c r="BJ21" i="4"/>
  <c r="BJ20" i="4"/>
  <c r="BJ26" i="4"/>
  <c r="BJ25" i="4"/>
  <c r="BJ22" i="4"/>
  <c r="BJ32" i="4"/>
  <c r="BJ11" i="4"/>
  <c r="BJ23" i="4"/>
  <c r="BJ16" i="4"/>
  <c r="BJ13" i="4"/>
  <c r="BJ17" i="4"/>
  <c r="BJ18" i="4"/>
  <c r="BK7" i="4"/>
  <c r="BJ27" i="4"/>
  <c r="BJ19" i="4"/>
  <c r="BJ9" i="4"/>
  <c r="BK28" i="4" l="1"/>
  <c r="BK35" i="4"/>
  <c r="BK34" i="4"/>
  <c r="BK27" i="4"/>
  <c r="BK26" i="4"/>
  <c r="BK25" i="4"/>
  <c r="BK15" i="4"/>
  <c r="BK29" i="4"/>
  <c r="BK23" i="4"/>
  <c r="BK24" i="4"/>
  <c r="BK32" i="4"/>
  <c r="BK16" i="4"/>
  <c r="BK31" i="4"/>
  <c r="BK33" i="4"/>
  <c r="BK30" i="4"/>
  <c r="BK22" i="4"/>
  <c r="BK20" i="4"/>
  <c r="BK13" i="4"/>
  <c r="BK12" i="4"/>
  <c r="BK21" i="4"/>
  <c r="BK19" i="4"/>
  <c r="BK14" i="4"/>
  <c r="BK18" i="4"/>
  <c r="BL7" i="4"/>
  <c r="BK11" i="4"/>
  <c r="BK17" i="4"/>
  <c r="BK9" i="4"/>
  <c r="BK28" i="2"/>
  <c r="BK26" i="2"/>
  <c r="BK24" i="2"/>
  <c r="BK18" i="2"/>
  <c r="BK12" i="2"/>
  <c r="BK30" i="2"/>
  <c r="BK20" i="2"/>
  <c r="BK15" i="2"/>
  <c r="BK22" i="2"/>
  <c r="BK29" i="2"/>
  <c r="BK19" i="2"/>
  <c r="BK21" i="2"/>
  <c r="BK27" i="2"/>
  <c r="BK13" i="2"/>
  <c r="BK14" i="2"/>
  <c r="BK11" i="2"/>
  <c r="BK25" i="2"/>
  <c r="BK16" i="2"/>
  <c r="BK9" i="2"/>
  <c r="BK17" i="2"/>
  <c r="BL7" i="2"/>
  <c r="BK35" i="3"/>
  <c r="BK34" i="3"/>
  <c r="BK27" i="3"/>
  <c r="BK32" i="3"/>
  <c r="BK20" i="3"/>
  <c r="BK18" i="3"/>
  <c r="BK31" i="3"/>
  <c r="BK28" i="3"/>
  <c r="BK22" i="3"/>
  <c r="BK15" i="3"/>
  <c r="BK29" i="3"/>
  <c r="BK26" i="3"/>
  <c r="BK33" i="3"/>
  <c r="BK24" i="3"/>
  <c r="BK21" i="3"/>
  <c r="BK16" i="3"/>
  <c r="BK9" i="3"/>
  <c r="BK30" i="3"/>
  <c r="BK14" i="3"/>
  <c r="BK12" i="3"/>
  <c r="BL7" i="3"/>
  <c r="BK23" i="3"/>
  <c r="BK17" i="3"/>
  <c r="BK13" i="3"/>
  <c r="BK11" i="3"/>
  <c r="BK25" i="3"/>
  <c r="BK19" i="3"/>
  <c r="BL35" i="4" l="1"/>
  <c r="BL32" i="4"/>
  <c r="BL30" i="4"/>
  <c r="BL28" i="4"/>
  <c r="BL33" i="4"/>
  <c r="BL31" i="4"/>
  <c r="BL26" i="4"/>
  <c r="BL21" i="4"/>
  <c r="BL19" i="4"/>
  <c r="BL17" i="4"/>
  <c r="BL27" i="4"/>
  <c r="BL25" i="4"/>
  <c r="BL23" i="4"/>
  <c r="BL20" i="4"/>
  <c r="BL29" i="4"/>
  <c r="BL16" i="4"/>
  <c r="BL13" i="4"/>
  <c r="BL12" i="4"/>
  <c r="BL9" i="4"/>
  <c r="BL14" i="4"/>
  <c r="BL24" i="4"/>
  <c r="BL22" i="4"/>
  <c r="BL15" i="4"/>
  <c r="BL11" i="4"/>
  <c r="BL34" i="4"/>
  <c r="BL18" i="4"/>
  <c r="BL34" i="3"/>
  <c r="BL27" i="3"/>
  <c r="BL25" i="3"/>
  <c r="BL23" i="3"/>
  <c r="BL31" i="3"/>
  <c r="BL29" i="3"/>
  <c r="BL28" i="3"/>
  <c r="BL22" i="3"/>
  <c r="BL15" i="3"/>
  <c r="BL21" i="3"/>
  <c r="BL19" i="3"/>
  <c r="BL17" i="3"/>
  <c r="BL35" i="3"/>
  <c r="BL32" i="3"/>
  <c r="BL20" i="3"/>
  <c r="BL18" i="3"/>
  <c r="BL24" i="3"/>
  <c r="BL16" i="3"/>
  <c r="BL9" i="3"/>
  <c r="BL30" i="3"/>
  <c r="BL14" i="3"/>
  <c r="BL12" i="3"/>
  <c r="BL13" i="3"/>
  <c r="BL33" i="3"/>
  <c r="BL26" i="3"/>
  <c r="BL11" i="3"/>
  <c r="BL30" i="2"/>
  <c r="BL20" i="2"/>
  <c r="BL15" i="2"/>
  <c r="BL22" i="2"/>
  <c r="BL28" i="2"/>
  <c r="BL27" i="2"/>
  <c r="BL25" i="2"/>
  <c r="BL17" i="2"/>
  <c r="BL14" i="2"/>
  <c r="BL13" i="2"/>
  <c r="BL11" i="2"/>
  <c r="BL21" i="2"/>
  <c r="BL16" i="2"/>
  <c r="BL26" i="2"/>
  <c r="BL24" i="2"/>
  <c r="BL18" i="2"/>
  <c r="BL29" i="2"/>
  <c r="BL12" i="2"/>
  <c r="BL9" i="2"/>
  <c r="BL19" i="2"/>
</calcChain>
</file>

<file path=xl/sharedStrings.xml><?xml version="1.0" encoding="utf-8"?>
<sst xmlns="http://purl.oclc.org/ooxml/spreadsheetml/main" count="182" uniqueCount="65">
  <si>
    <t>ABOUT THIS GANTT CHART</t>
  </si>
  <si>
    <t>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t>
  </si>
  <si>
    <t>• Use Progress to add how much of the project you finished by adding a percentage number.
• Add the day you started your project in the Start Date.
• Finish your calculations by filling in the number of days you need to complete your project in the No. of Days field.</t>
  </si>
  <si>
    <t>PROJECT TITLE</t>
  </si>
  <si>
    <t>Company name</t>
  </si>
  <si>
    <t>Tool mania</t>
  </si>
  <si>
    <t>Legend:</t>
  </si>
  <si>
    <t>On track</t>
  </si>
  <si>
    <t>Low risk</t>
  </si>
  <si>
    <t>Med risk</t>
  </si>
  <si>
    <t>High risk</t>
  </si>
  <si>
    <t>Unassigned</t>
  </si>
  <si>
    <t>Project lead</t>
  </si>
  <si>
    <t>Barry Hiku</t>
  </si>
  <si>
    <t>Project Start Date:</t>
  </si>
  <si>
    <t>Scrolling Increment:</t>
  </si>
  <si>
    <t>Milestone description</t>
  </si>
  <si>
    <t>Category</t>
  </si>
  <si>
    <t>Assigned to</t>
  </si>
  <si>
    <t>Progress</t>
  </si>
  <si>
    <t>Start</t>
  </si>
  <si>
    <t>Days</t>
  </si>
  <si>
    <t>Project definition</t>
  </si>
  <si>
    <t>Site naming</t>
  </si>
  <si>
    <t>Group collaberation</t>
  </si>
  <si>
    <t>Project planning</t>
  </si>
  <si>
    <t>Project confirmation</t>
  </si>
  <si>
    <t>Content phase</t>
  </si>
  <si>
    <t>Ideation phase</t>
  </si>
  <si>
    <t>Medium</t>
  </si>
  <si>
    <t xml:space="preserve">Jaris Hema-Taylor </t>
  </si>
  <si>
    <t>Design principle</t>
  </si>
  <si>
    <t>Content confirmation</t>
  </si>
  <si>
    <t>Low Risk</t>
  </si>
  <si>
    <t>Design phase</t>
  </si>
  <si>
    <t>Wireframe</t>
  </si>
  <si>
    <t>On Track</t>
  </si>
  <si>
    <t>Barry Hiku/ Anthony Start</t>
  </si>
  <si>
    <t>Mockup</t>
  </si>
  <si>
    <t>Med Risk</t>
  </si>
  <si>
    <t>Prototype</t>
  </si>
  <si>
    <t>Task 5</t>
  </si>
  <si>
    <t>Development phase</t>
  </si>
  <si>
    <t>Peusodocoding/flowcharting</t>
  </si>
  <si>
    <t>Website coding</t>
  </si>
  <si>
    <t>Test</t>
  </si>
  <si>
    <t>Milestone</t>
  </si>
  <si>
    <t>Rework</t>
  </si>
  <si>
    <t>Review phase</t>
  </si>
  <si>
    <t>Project review</t>
  </si>
  <si>
    <t>Anothonty stark</t>
  </si>
  <si>
    <t>Deployment</t>
  </si>
  <si>
    <t>Team collaberation</t>
  </si>
  <si>
    <t>TITLE 1</t>
  </si>
  <si>
    <t>Task 1</t>
  </si>
  <si>
    <t>Goal</t>
  </si>
  <si>
    <t>Name</t>
  </si>
  <si>
    <t>Task 2</t>
  </si>
  <si>
    <t>Task 3</t>
  </si>
  <si>
    <t>Task 4</t>
  </si>
  <si>
    <t>TITLE 2</t>
  </si>
  <si>
    <t>High Risk</t>
  </si>
  <si>
    <t>TITLE 3</t>
  </si>
  <si>
    <t>TITLE 4</t>
  </si>
  <si>
    <t>To add more data, Insert new rows ABOVE this one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</si>
</sst>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yyyy"/>
    <numFmt numFmtId="165" formatCode="d"/>
    <numFmt numFmtId="166" formatCode="#,##0;&quot;-&quot;#,##0"/>
    <numFmt numFmtId="167" formatCode="&quot; &quot;* #,##0.00&quot; &quot;;&quot; &quot;* &quot;(&quot;#,##0.00&quot;)&quot;;&quot; &quot;* &quot;-&quot;00&quot; &quot;;&quot; &quot;@&quot; &quot;"/>
  </numFmts>
  <fonts count="46">
    <font>
      <sz val="10"/>
      <color theme="1"/>
      <name val="Liberation Sans"/>
    </font>
    <font>
      <sz val="10"/>
      <color theme="1"/>
      <name val="Liberation Sans"/>
    </font>
    <font>
      <b/>
      <sz val="10"/>
      <color theme="1"/>
      <name val="Liberation Sans"/>
    </font>
    <font>
      <b/>
      <sz val="10"/>
      <color rgb="FFFFFFFF"/>
      <name val="Liberation Sans"/>
    </font>
    <font>
      <sz val="10"/>
      <color rgb="FFCC0000"/>
      <name val="Liberation Sans"/>
    </font>
    <font>
      <sz val="10"/>
      <color rgb="FFFFFFFF"/>
      <name val="Liberation Sans"/>
    </font>
    <font>
      <sz val="10"/>
      <color rgb="FF000000"/>
      <name val="Liberation Sans"/>
    </font>
    <font>
      <sz val="10"/>
      <color rgb="FF000000"/>
      <name val="Liberation Sans"/>
      <family val="2"/>
    </font>
    <font>
      <b/>
      <sz val="10"/>
      <color rgb="FFFFFFFF"/>
      <name val="Liberation Sans"/>
      <family val="2"/>
    </font>
    <font>
      <sz val="10"/>
      <color rgb="FFFFFFFF"/>
      <name val="Liberation Sans"/>
      <family val="2"/>
    </font>
    <font>
      <sz val="11"/>
      <color rgb="FF000000"/>
      <name val="Calibri"/>
      <family val="2"/>
    </font>
    <font>
      <sz val="14"/>
      <color theme="1"/>
      <name val="Liberation Sans"/>
    </font>
    <font>
      <u/>
      <sz val="10"/>
      <color rgb="FF0000FF"/>
      <name val="Arial"/>
      <family val="2"/>
    </font>
    <font>
      <b/>
      <sz val="22"/>
      <color rgb="FF595959"/>
      <name val="Liberation Sans"/>
    </font>
    <font>
      <i/>
      <sz val="10"/>
      <color rgb="FF808080"/>
      <name val="Liberation Sans"/>
    </font>
    <font>
      <sz val="10"/>
      <color rgb="FF006600"/>
      <name val="Liberation Sans"/>
    </font>
    <font>
      <b/>
      <sz val="24"/>
      <color theme="1"/>
      <name val="Liberation Sans"/>
    </font>
    <font>
      <b/>
      <sz val="18"/>
      <color theme="1"/>
      <name val="Liberation Sans"/>
    </font>
    <font>
      <b/>
      <sz val="12"/>
      <color theme="1"/>
      <name val="Liberation Sans"/>
    </font>
    <font>
      <u/>
      <sz val="10"/>
      <color rgb="FF0000EE"/>
      <name val="Liberation Sans"/>
    </font>
    <font>
      <sz val="10"/>
      <color rgb="FF996600"/>
      <name val="Liberation Sans"/>
    </font>
    <font>
      <sz val="10"/>
      <color rgb="FF333333"/>
      <name val="Liberation Sans"/>
    </font>
    <font>
      <b/>
      <i/>
      <u/>
      <sz val="10"/>
      <color theme="1"/>
      <name val="Liberation Sans"/>
    </font>
    <font>
      <sz val="20"/>
      <color theme="1"/>
      <name val="Liberation Sans"/>
    </font>
    <font>
      <sz val="22"/>
      <color theme="1"/>
      <name val="Corbel"/>
      <family val="2"/>
    </font>
    <font>
      <b/>
      <sz val="24"/>
      <color rgb="FFFFFFFF"/>
      <name val="Liberation Sans"/>
    </font>
    <font>
      <sz val="20"/>
      <color rgb="FF8E9DEF"/>
      <name val="Liberation Sans"/>
    </font>
    <font>
      <b/>
      <sz val="22"/>
      <color theme="1"/>
      <name val="Liberation Sans"/>
    </font>
    <font>
      <sz val="14"/>
      <color theme="1"/>
      <name val="Corbel"/>
      <family val="2"/>
    </font>
    <font>
      <b/>
      <sz val="26"/>
      <color rgb="FF595959"/>
      <name val="Liberation Sans"/>
    </font>
    <font>
      <b/>
      <sz val="20"/>
      <color theme="1"/>
      <name val="Liberation Sans"/>
    </font>
    <font>
      <b/>
      <sz val="16"/>
      <color theme="1"/>
      <name val="Liberation Sans"/>
    </font>
    <font>
      <b/>
      <sz val="14"/>
      <color rgb="FFFFFFFF"/>
      <name val="Liberation Sans"/>
    </font>
    <font>
      <b/>
      <sz val="14"/>
      <color theme="1"/>
      <name val="Liberation Sans"/>
    </font>
    <font>
      <sz val="16"/>
      <color theme="1"/>
      <name val="Liberation Sans"/>
    </font>
    <font>
      <b/>
      <sz val="10"/>
      <color rgb="FF000000"/>
      <name val="Liberation Sans"/>
      <family val="2"/>
    </font>
    <font>
      <sz val="10"/>
      <color rgb="FF215C98"/>
      <name val="Liberation Sans"/>
    </font>
    <font>
      <sz val="10"/>
      <color rgb="FFBE5014"/>
      <name val="Liberation Sans"/>
    </font>
    <font>
      <sz val="10"/>
      <color rgb="FFF1A983"/>
      <name val="Liberation Sans"/>
    </font>
    <font>
      <sz val="10"/>
      <color rgb="FF0D3512"/>
      <name val="Liberation Sans"/>
    </font>
    <font>
      <sz val="10"/>
      <color rgb="FF00B050"/>
      <name val="Liberation Sans"/>
    </font>
    <font>
      <b/>
      <sz val="10"/>
      <color rgb="FF7F7F7F"/>
      <name val="Liberation Sans"/>
    </font>
    <font>
      <sz val="10"/>
      <color rgb="FFFF0000"/>
      <name val="Liberation Sans"/>
    </font>
    <font>
      <sz val="10"/>
      <color rgb="FF7F7F7F"/>
      <name val="Arial"/>
      <family val="2"/>
    </font>
    <font>
      <b/>
      <sz val="26"/>
      <color rgb="FFFFFFFF"/>
      <name val="Liberation Sans"/>
    </font>
    <font>
      <b/>
      <sz val="16"/>
      <color rgb="FFFFFFFF"/>
      <name val="Liberation Sans"/>
    </font>
  </fonts>
  <fills count="34">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F2F2F2"/>
        <bgColor rgb="FFF2F2F2"/>
      </patternFill>
    </fill>
    <fill>
      <patternFill patternType="solid">
        <fgColor rgb="FF7F7F7F"/>
        <bgColor rgb="FF7F7F7F"/>
      </patternFill>
    </fill>
    <fill>
      <patternFill patternType="solid">
        <fgColor rgb="FFD9D9D9"/>
        <bgColor rgb="FFD9D9D9"/>
      </patternFill>
    </fill>
    <fill>
      <patternFill patternType="solid">
        <fgColor rgb="FFCC0000"/>
        <bgColor rgb="FFCC0000"/>
      </patternFill>
    </fill>
    <fill>
      <patternFill patternType="solid">
        <fgColor rgb="FF20A472"/>
        <bgColor rgb="FF20A472"/>
      </patternFill>
    </fill>
    <fill>
      <patternFill patternType="solid">
        <fgColor rgb="FFCCFFCC"/>
        <bgColor rgb="FFCCFFCC"/>
      </patternFill>
    </fill>
    <fill>
      <patternFill patternType="solid">
        <fgColor rgb="FFFFFFCC"/>
        <bgColor rgb="FFFFFFCC"/>
      </patternFill>
    </fill>
    <fill>
      <patternFill patternType="solid">
        <fgColor rgb="FF005878"/>
        <bgColor rgb="FF005878"/>
      </patternFill>
    </fill>
    <fill>
      <patternFill patternType="solid">
        <fgColor rgb="FF00B0F0"/>
        <bgColor rgb="FF00B0F0"/>
      </patternFill>
    </fill>
    <fill>
      <patternFill patternType="solid">
        <fgColor rgb="FF4868E5"/>
        <bgColor rgb="FF4868E5"/>
      </patternFill>
    </fill>
    <fill>
      <patternFill patternType="solid">
        <fgColor rgb="FF862B99"/>
        <bgColor rgb="FF862B99"/>
      </patternFill>
    </fill>
    <fill>
      <patternFill patternType="solid">
        <fgColor rgb="FFE6E6E6"/>
        <bgColor rgb="FFE6E6E6"/>
      </patternFill>
    </fill>
    <fill>
      <patternFill patternType="solid">
        <fgColor rgb="FFBFBFBF"/>
        <bgColor rgb="FFBFBFBF"/>
      </patternFill>
    </fill>
    <fill>
      <patternFill patternType="solid">
        <fgColor rgb="FF404040"/>
        <bgColor rgb="FF404040"/>
      </patternFill>
    </fill>
    <fill>
      <patternFill patternType="solid">
        <fgColor rgb="FF4D93D9"/>
        <bgColor rgb="FF4D93D9"/>
      </patternFill>
    </fill>
    <fill>
      <patternFill patternType="solid">
        <fgColor rgb="FFBE5014"/>
        <bgColor rgb="FFBE5014"/>
      </patternFill>
    </fill>
    <fill>
      <patternFill patternType="solid">
        <fgColor rgb="FFFFFFFF"/>
        <bgColor rgb="FFFFFFFF"/>
      </patternFill>
    </fill>
    <fill>
      <patternFill patternType="solid">
        <fgColor rgb="FFF1A983"/>
        <bgColor rgb="FFF1A983"/>
      </patternFill>
    </fill>
    <fill>
      <patternFill patternType="solid">
        <fgColor rgb="FF375623"/>
        <bgColor rgb="FF375623"/>
      </patternFill>
    </fill>
    <fill>
      <patternFill patternType="solid">
        <fgColor rgb="FF12501A"/>
        <bgColor rgb="FF12501A"/>
      </patternFill>
    </fill>
    <fill>
      <patternFill patternType="solid">
        <fgColor rgb="FF47D359"/>
        <bgColor rgb="FF47D359"/>
      </patternFill>
    </fill>
    <fill>
      <patternFill patternType="solid">
        <fgColor rgb="FF782170"/>
        <bgColor rgb="FF782170"/>
      </patternFill>
    </fill>
    <fill>
      <patternFill patternType="solid">
        <fgColor rgb="FFD86DCD"/>
        <bgColor rgb="FFD86DCD"/>
      </patternFill>
    </fill>
    <fill>
      <patternFill patternType="solid">
        <fgColor rgb="FFE49EDD"/>
        <bgColor rgb="FFE49EDD"/>
      </patternFill>
    </fill>
    <fill>
      <patternFill patternType="solid">
        <fgColor rgb="FFA6C9EC"/>
        <bgColor rgb="FFA6C9EC"/>
      </patternFill>
    </fill>
    <fill>
      <patternFill patternType="solid">
        <fgColor rgb="FFDAE9F8"/>
        <bgColor rgb="FFDAE9F8"/>
      </patternFill>
    </fill>
    <fill>
      <patternFill patternType="solid">
        <fgColor rgb="FF215C98"/>
        <bgColor rgb="FF215C98"/>
      </patternFill>
    </fill>
    <fill>
      <patternFill patternType="solid">
        <fgColor rgb="FF262626"/>
        <bgColor rgb="FF262626"/>
      </patternFill>
    </fill>
  </fills>
  <borders count="23">
    <border>
      <start/>
      <end/>
      <top/>
      <bottom/>
      <diagonal/>
    </border>
    <border>
      <start/>
      <end/>
      <top/>
      <bottom style="thin">
        <color rgb="FFA6A6A6"/>
      </bottom>
      <diagonal/>
    </border>
    <border>
      <start style="thin">
        <color rgb="FFC00000"/>
      </start>
      <end style="thin">
        <color rgb="FFC00000"/>
      </end>
      <top/>
      <bottom/>
      <diagonal/>
    </border>
    <border>
      <start style="thin">
        <color rgb="FFA6A6A6"/>
      </start>
      <end style="thin">
        <color rgb="FFA6A6A6"/>
      </end>
      <top style="thin">
        <color rgb="FFA6A6A6"/>
      </top>
      <bottom style="thin">
        <color rgb="FFA6A6A6"/>
      </bottom>
      <diagonal/>
    </border>
    <border>
      <start style="thin">
        <color rgb="FF808080"/>
      </start>
      <end style="thin">
        <color rgb="FF808080"/>
      </end>
      <top style="thin">
        <color rgb="FF808080"/>
      </top>
      <bottom style="thin">
        <color rgb="FF808080"/>
      </bottom>
      <diagonal/>
    </border>
    <border>
      <start/>
      <end/>
      <top/>
      <bottom style="thin">
        <color rgb="FF808080"/>
      </bottom>
      <diagonal/>
    </border>
    <border>
      <start/>
      <end style="thin">
        <color rgb="FFA6A6A6"/>
      </end>
      <top/>
      <bottom/>
      <diagonal/>
    </border>
    <border>
      <start style="thin">
        <color rgb="FFA6A6A6"/>
      </start>
      <end/>
      <top style="thin">
        <color rgb="FF808080"/>
      </top>
      <bottom/>
      <diagonal/>
    </border>
    <border>
      <start/>
      <end/>
      <top style="thin">
        <color rgb="FF808080"/>
      </top>
      <bottom/>
      <diagonal/>
    </border>
    <border>
      <start/>
      <end style="thin">
        <color rgb="FFA6A6A6"/>
      </end>
      <top style="thin">
        <color rgb="FF808080"/>
      </top>
      <bottom/>
      <diagonal/>
    </border>
    <border>
      <start style="thin">
        <color rgb="FFA6A6A6"/>
      </start>
      <end/>
      <top/>
      <bottom/>
      <diagonal/>
    </border>
    <border>
      <start style="thin">
        <color rgb="FFA6A6A6"/>
      </start>
      <end/>
      <top/>
      <bottom style="thin">
        <color rgb="FFA6A6A6"/>
      </bottom>
      <diagonal/>
    </border>
    <border>
      <start/>
      <end style="thin">
        <color rgb="FFA6A6A6"/>
      </end>
      <top/>
      <bottom style="thin">
        <color rgb="FFA6A6A6"/>
      </bottom>
      <diagonal/>
    </border>
    <border>
      <start style="thin">
        <color rgb="FFD9D9D9"/>
      </start>
      <end style="thin">
        <color rgb="FFD9D9D9"/>
      </end>
      <top/>
      <bottom/>
      <diagonal/>
    </border>
    <border>
      <start style="thin">
        <color rgb="FFD9D9D9"/>
      </start>
      <end style="thin">
        <color rgb="FFD9D9D9"/>
      </end>
      <top style="thin">
        <color rgb="FFD9D9D9"/>
      </top>
      <bottom style="thin">
        <color rgb="FFD9D9D9"/>
      </bottom>
      <diagonal/>
    </border>
    <border>
      <start style="thin">
        <color rgb="FFD9D9D9"/>
      </start>
      <end/>
      <top/>
      <bottom style="thin">
        <color rgb="FFFFFFFF"/>
      </bottom>
      <diagonal/>
    </border>
    <border>
      <start style="thin">
        <color rgb="FF808080"/>
      </start>
      <end/>
      <top/>
      <bottom/>
      <diagonal/>
    </border>
    <border>
      <start/>
      <end style="thin">
        <color rgb="FF808080"/>
      </end>
      <top/>
      <bottom/>
      <diagonal/>
    </border>
    <border>
      <start style="thin">
        <color rgb="FF808080"/>
      </start>
      <end/>
      <top/>
      <bottom style="thin">
        <color rgb="FF808080"/>
      </bottom>
      <diagonal/>
    </border>
    <border>
      <start/>
      <end style="thin">
        <color rgb="FFA6A6A6"/>
      </end>
      <top/>
      <bottom style="thin">
        <color rgb="FF808080"/>
      </bottom>
      <diagonal/>
    </border>
    <border>
      <start/>
      <end style="thin">
        <color rgb="FF595959"/>
      </end>
      <top style="thin">
        <color rgb="FF595959"/>
      </top>
      <bottom style="thin">
        <color rgb="FF595959"/>
      </bottom>
      <diagonal/>
    </border>
    <border>
      <start style="thin">
        <color rgb="FF595959"/>
      </start>
      <end style="thin">
        <color rgb="FF595959"/>
      </end>
      <top style="thin">
        <color rgb="FF595959"/>
      </top>
      <bottom style="thin">
        <color rgb="FF595959"/>
      </bottom>
      <diagonal/>
    </border>
    <border>
      <start/>
      <end/>
      <top/>
      <bottom style="thin">
        <color rgb="FF595959"/>
      </bottom>
      <diagonal/>
    </border>
  </borders>
  <cellStyleXfs count="41">
    <xf numFmtId="0" fontId="0" fillId="0" borderId="0"/>
    <xf numFmtId="0" fontId="17" fillId="0" borderId="0" applyNumberFormat="0" applyFill="0" applyBorder="0" applyProtection="0"/>
    <xf numFmtId="0" fontId="18" fillId="0" borderId="0" applyNumberFormat="0" applyFill="0" applyBorder="0" applyProtection="0"/>
    <xf numFmtId="0" fontId="15" fillId="11" borderId="0" applyNumberFormat="0" applyBorder="0" applyProtection="0"/>
    <xf numFmtId="0" fontId="4" fillId="5" borderId="0" applyNumberFormat="0" applyBorder="0" applyProtection="0"/>
    <xf numFmtId="0" fontId="20" fillId="12" borderId="0" applyNumberFormat="0" applyBorder="0" applyProtection="0"/>
    <xf numFmtId="0" fontId="21" fillId="12" borderId="4" applyNumberFormat="0" applyProtection="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1" fillId="6" borderId="1" applyNumberFormat="0" applyFont="0" applyAlignment="0" applyProtection="0"/>
    <xf numFmtId="0" fontId="3" fillId="0" borderId="2" applyNumberFormat="0" applyFill="0" applyAlignment="0" applyProtection="0"/>
    <xf numFmtId="0" fontId="5" fillId="7" borderId="0" applyNumberFormat="0" applyBorder="0" applyAlignment="0" applyProtection="0"/>
    <xf numFmtId="0" fontId="6" fillId="6" borderId="1" applyNumberFormat="0" applyAlignment="0" applyProtection="0"/>
    <xf numFmtId="0" fontId="3" fillId="0" borderId="2" applyNumberFormat="0" applyFill="0" applyAlignment="0" applyProtection="0"/>
    <xf numFmtId="0" fontId="5" fillId="7" borderId="0" applyNumberFormat="0" applyBorder="0" applyAlignment="0" applyProtection="0"/>
    <xf numFmtId="0" fontId="7" fillId="6" borderId="1" applyNumberFormat="0" applyAlignment="0" applyProtection="0"/>
    <xf numFmtId="0" fontId="8" fillId="0" borderId="2" applyNumberFormat="0" applyFill="0" applyAlignment="0" applyProtection="0"/>
    <xf numFmtId="0" fontId="9" fillId="7" borderId="0" applyNumberFormat="0" applyBorder="0" applyAlignment="0" applyProtection="0"/>
    <xf numFmtId="0" fontId="1" fillId="8" borderId="1" applyNumberFormat="0" applyFont="0" applyProtection="0"/>
    <xf numFmtId="164" fontId="1" fillId="0" borderId="0" applyFont="0" applyFill="0" applyBorder="0" applyProtection="0">
      <alignment horizontal="center" vertical="center"/>
    </xf>
    <xf numFmtId="0" fontId="10" fillId="0" borderId="0" applyNumberFormat="0" applyBorder="0" applyProtection="0"/>
    <xf numFmtId="0" fontId="3" fillId="9" borderId="0" applyNumberFormat="0" applyBorder="0" applyProtection="0"/>
    <xf numFmtId="0" fontId="5" fillId="10" borderId="0" applyNumberFormat="0" applyBorder="0" applyProtection="0"/>
    <xf numFmtId="167" fontId="1" fillId="0" borderId="3" applyFont="0" applyFill="0" applyProtection="0"/>
    <xf numFmtId="166" fontId="1" fillId="0" borderId="0" applyFont="0" applyFill="0" applyBorder="0" applyProtection="0">
      <alignment horizontal="center" vertical="center"/>
    </xf>
    <xf numFmtId="0" fontId="11" fillId="0" borderId="0" applyNumberFormat="0" applyFill="0" applyBorder="0" applyProtection="0"/>
    <xf numFmtId="0" fontId="11" fillId="0" borderId="0" applyNumberFormat="0" applyFill="0" applyBorder="0" applyProtection="0">
      <alignment vertical="top"/>
    </xf>
    <xf numFmtId="0" fontId="1" fillId="0" borderId="0" applyNumberFormat="0" applyFont="0" applyFill="0" applyBorder="0" applyProtection="0">
      <alignment horizontal="right" vertical="center"/>
    </xf>
    <xf numFmtId="0" fontId="12" fillId="0" borderId="0" applyNumberFormat="0" applyFill="0" applyBorder="0" applyProtection="0"/>
    <xf numFmtId="9" fontId="1" fillId="0" borderId="0" applyFont="0" applyFill="0" applyBorder="0" applyProtection="0">
      <alignment horizontal="center" vertical="center"/>
    </xf>
    <xf numFmtId="0" fontId="13" fillId="0" borderId="0" applyNumberFormat="0" applyFill="0" applyBorder="0" applyProtection="0"/>
    <xf numFmtId="0" fontId="14" fillId="0" borderId="0" applyNumberFormat="0" applyFill="0" applyBorder="0" applyProtection="0"/>
    <xf numFmtId="0" fontId="16" fillId="0" borderId="0" applyNumberFormat="0" applyFill="0" applyBorder="0" applyProtection="0"/>
    <xf numFmtId="0" fontId="19" fillId="0" borderId="0" applyNumberFormat="0" applyFill="0" applyBorder="0" applyProtection="0"/>
    <xf numFmtId="0" fontId="22" fillId="0" borderId="0" applyNumberFormat="0" applyFill="0" applyBorder="0" applyProtection="0"/>
    <xf numFmtId="0" fontId="1" fillId="0" borderId="0" applyNumberFormat="0" applyFont="0" applyFill="0" applyBorder="0" applyProtection="0"/>
    <xf numFmtId="0" fontId="1" fillId="0" borderId="0" applyNumberFormat="0" applyFont="0" applyFill="0" applyBorder="0" applyProtection="0"/>
    <xf numFmtId="0" fontId="4" fillId="0" borderId="0" applyNumberFormat="0" applyFill="0" applyBorder="0" applyProtection="0"/>
    <xf numFmtId="0" fontId="5" fillId="0" borderId="0" applyNumberFormat="0" applyBorder="0" applyProtection="0"/>
  </cellStyleXfs>
  <cellXfs count="142">
    <xf numFmtId="0" fontId="0" fillId="0" borderId="0" xfId="0"/>
    <xf numFmtId="0" fontId="23" fillId="0" borderId="0" xfId="0" applyFont="1" applyAlignment="1"/>
    <xf numFmtId="0" fontId="24" fillId="0" borderId="0" xfId="27" applyFont="1" applyFill="1" applyAlignment="1">
      <alignment vertical="center"/>
    </xf>
    <xf numFmtId="0" fontId="23" fillId="13" borderId="0" xfId="0" applyFont="1" applyFill="1" applyAlignment="1"/>
    <xf numFmtId="0" fontId="0" fillId="0" borderId="0" xfId="0" applyAlignment="1"/>
    <xf numFmtId="0" fontId="23" fillId="6" borderId="0" xfId="0" applyFont="1" applyFill="1" applyAlignment="1"/>
    <xf numFmtId="0" fontId="26" fillId="6" borderId="0" xfId="0" applyFont="1" applyFill="1" applyAlignment="1"/>
    <xf numFmtId="0" fontId="27" fillId="6" borderId="0" xfId="27" applyFont="1" applyFill="1" applyAlignment="1">
      <alignment vertical="center"/>
    </xf>
    <xf numFmtId="0" fontId="0" fillId="0" borderId="0" xfId="0" applyAlignment="1">
      <alignment vertical="top"/>
    </xf>
    <xf numFmtId="0" fontId="0" fillId="6" borderId="0" xfId="0" applyFill="1" applyAlignment="1"/>
    <xf numFmtId="0" fontId="0" fillId="6" borderId="0" xfId="0" applyFill="1" applyAlignment="1">
      <alignment wrapText="1"/>
    </xf>
    <xf numFmtId="0" fontId="25" fillId="13" borderId="0" xfId="27" applyFont="1" applyFill="1" applyAlignment="1">
      <alignment horizontal="left" vertical="center"/>
    </xf>
    <xf numFmtId="0" fontId="28" fillId="6" borderId="0" xfId="27" applyFont="1" applyFill="1" applyAlignment="1">
      <alignment horizontal="left" vertical="center" wrapText="1"/>
    </xf>
    <xf numFmtId="0" fontId="5" fillId="0" borderId="0" xfId="40" applyFont="1" applyFill="1" applyAlignment="1"/>
    <xf numFmtId="0" fontId="0" fillId="0" borderId="0" xfId="0" applyAlignment="1">
      <alignment horizontal="center"/>
    </xf>
    <xf numFmtId="0" fontId="5" fillId="0" borderId="0" xfId="40" applyFont="1" applyFill="1" applyAlignment="1">
      <alignment wrapText="1"/>
    </xf>
    <xf numFmtId="0" fontId="13" fillId="0" borderId="0" xfId="32" applyFont="1" applyFill="1" applyAlignment="1">
      <alignment horizontal="left" vertical="center"/>
    </xf>
    <xf numFmtId="0" fontId="30" fillId="0" borderId="0" xfId="0" applyFont="1" applyAlignment="1">
      <alignment horizontal="left" vertical="center"/>
    </xf>
    <xf numFmtId="0" fontId="0" fillId="0" borderId="0" xfId="0" applyAlignment="1">
      <alignment vertical="center"/>
    </xf>
    <xf numFmtId="0" fontId="11" fillId="0" borderId="0" xfId="0" applyFont="1" applyAlignment="1">
      <alignment horizontal="center" vertical="center"/>
    </xf>
    <xf numFmtId="0" fontId="11" fillId="0" borderId="0" xfId="0" applyFont="1" applyAlignment="1">
      <alignment vertical="center"/>
    </xf>
    <xf numFmtId="0" fontId="31" fillId="0" borderId="0" xfId="27" applyFont="1" applyFill="1" applyAlignment="1">
      <alignment horizontal="left" vertical="center" indent="1"/>
    </xf>
    <xf numFmtId="0" fontId="11" fillId="0" borderId="0" xfId="27" applyFont="1" applyFill="1" applyAlignment="1">
      <alignment horizontal="left" vertical="center" indent="1"/>
    </xf>
    <xf numFmtId="0" fontId="0" fillId="0" borderId="0" xfId="0" applyAlignment="1">
      <alignment horizontal="left" vertical="center" indent="1"/>
    </xf>
    <xf numFmtId="0" fontId="0" fillId="0" borderId="0" xfId="0" applyAlignment="1">
      <alignment horizontal="right" vertical="center"/>
    </xf>
    <xf numFmtId="0" fontId="31" fillId="0" borderId="0" xfId="0" applyFont="1" applyAlignment="1">
      <alignment horizontal="left" vertical="center" indent="1"/>
    </xf>
    <xf numFmtId="0" fontId="7" fillId="0" borderId="0" xfId="29" applyFont="1" applyFill="1" applyAlignment="1">
      <alignment horizontal="left" vertical="center" indent="1"/>
    </xf>
    <xf numFmtId="164" fontId="7" fillId="0" borderId="0" xfId="21" applyFont="1" applyFill="1" applyAlignment="1">
      <alignment horizontal="left" vertical="center"/>
    </xf>
    <xf numFmtId="164" fontId="7" fillId="0" borderId="0" xfId="21" applyFont="1" applyFill="1" applyAlignment="1">
      <alignment horizontal="left" vertical="center" indent="1"/>
    </xf>
    <xf numFmtId="0" fontId="31" fillId="0" borderId="5" xfId="0" applyFont="1" applyBorder="1" applyAlignment="1">
      <alignment vertical="center"/>
    </xf>
    <xf numFmtId="0" fontId="34" fillId="0" borderId="5" xfId="0" applyFont="1" applyBorder="1" applyAlignment="1">
      <alignment vertical="center"/>
    </xf>
    <xf numFmtId="0" fontId="34" fillId="0" borderId="5" xfId="0" applyFont="1" applyBorder="1" applyAlignment="1"/>
    <xf numFmtId="0" fontId="0" fillId="0" borderId="0" xfId="0" applyAlignment="1">
      <alignment horizontal="left" vertical="center"/>
    </xf>
    <xf numFmtId="0" fontId="0" fillId="0" borderId="6" xfId="0" applyBorder="1" applyAlignment="1"/>
    <xf numFmtId="165" fontId="0" fillId="18" borderId="7" xfId="0" applyNumberFormat="1" applyFill="1" applyBorder="1" applyAlignment="1">
      <alignment horizontal="center" vertical="center"/>
    </xf>
    <xf numFmtId="165" fontId="0" fillId="18" borderId="8" xfId="0" applyNumberFormat="1" applyFill="1" applyBorder="1" applyAlignment="1">
      <alignment horizontal="center" vertical="center"/>
    </xf>
    <xf numFmtId="165" fontId="0" fillId="18" borderId="9" xfId="0" applyNumberFormat="1" applyFill="1" applyBorder="1" applyAlignment="1">
      <alignment horizontal="center" vertical="center"/>
    </xf>
    <xf numFmtId="165" fontId="0" fillId="18" borderId="10" xfId="0" applyNumberFormat="1" applyFill="1" applyBorder="1" applyAlignment="1">
      <alignment horizontal="center" vertical="center"/>
    </xf>
    <xf numFmtId="165" fontId="0" fillId="18" borderId="0" xfId="0" applyNumberFormat="1" applyFill="1" applyAlignment="1">
      <alignment horizontal="center" vertical="center"/>
    </xf>
    <xf numFmtId="165" fontId="0" fillId="18" borderId="11" xfId="0" applyNumberFormat="1" applyFill="1" applyBorder="1" applyAlignment="1">
      <alignment horizontal="center" vertical="center"/>
    </xf>
    <xf numFmtId="165" fontId="0" fillId="18" borderId="12" xfId="0" applyNumberFormat="1" applyFill="1" applyBorder="1" applyAlignment="1">
      <alignment horizontal="center" vertical="center"/>
    </xf>
    <xf numFmtId="165" fontId="0" fillId="18" borderId="6" xfId="0" applyNumberFormat="1" applyFill="1" applyBorder="1" applyAlignment="1">
      <alignment horizontal="center" vertical="center"/>
    </xf>
    <xf numFmtId="0" fontId="3" fillId="19" borderId="0" xfId="0" applyFont="1" applyFill="1" applyAlignment="1">
      <alignment horizontal="left" vertical="center" indent="1"/>
    </xf>
    <xf numFmtId="0" fontId="3" fillId="19" borderId="0" xfId="0" applyFont="1" applyFill="1" applyAlignment="1">
      <alignment horizontal="center" vertical="center" wrapText="1"/>
    </xf>
    <xf numFmtId="0" fontId="3" fillId="0" borderId="6" xfId="0" applyFont="1" applyBorder="1" applyAlignment="1">
      <alignment horizontal="center" vertical="center" wrapText="1"/>
    </xf>
    <xf numFmtId="0" fontId="0" fillId="18" borderId="3" xfId="0" applyFill="1" applyBorder="1" applyAlignment="1">
      <alignment horizontal="center" vertical="center" shrinkToFit="1"/>
    </xf>
    <xf numFmtId="0" fontId="0" fillId="0" borderId="0" xfId="0" applyAlignment="1">
      <alignment horizontal="left" wrapText="1" indent="1"/>
    </xf>
    <xf numFmtId="9" fontId="7" fillId="0" borderId="0" xfId="31" applyFont="1" applyFill="1" applyAlignment="1">
      <alignment horizontal="center" vertical="center"/>
    </xf>
    <xf numFmtId="0" fontId="0" fillId="0" borderId="0" xfId="0" applyAlignment="1">
      <alignment horizontal="center" vertical="center" wrapText="1"/>
    </xf>
    <xf numFmtId="164" fontId="7" fillId="0" borderId="0" xfId="21" applyFont="1" applyFill="1" applyAlignment="1">
      <alignment horizontal="center" vertical="center"/>
    </xf>
    <xf numFmtId="166" fontId="7" fillId="0" borderId="0" xfId="26" applyFont="1" applyFill="1" applyAlignment="1">
      <alignment horizontal="center" vertical="center"/>
    </xf>
    <xf numFmtId="0" fontId="0" fillId="0" borderId="13" xfId="0" applyBorder="1" applyAlignment="1">
      <alignment vertical="center"/>
    </xf>
    <xf numFmtId="0" fontId="2" fillId="20" borderId="0" xfId="0" applyFont="1" applyFill="1" applyAlignment="1">
      <alignment horizontal="left" vertical="center" wrapText="1" indent="1"/>
    </xf>
    <xf numFmtId="0" fontId="0" fillId="0" borderId="0" xfId="0" applyAlignment="1">
      <alignment horizontal="center" vertical="center"/>
    </xf>
    <xf numFmtId="9" fontId="35" fillId="0" borderId="0" xfId="31" applyFont="1" applyFill="1" applyAlignment="1">
      <alignment horizontal="center" vertical="center"/>
    </xf>
    <xf numFmtId="0" fontId="0" fillId="0" borderId="14" xfId="0" applyBorder="1" applyAlignment="1">
      <alignment horizontal="center" vertical="center"/>
    </xf>
    <xf numFmtId="0" fontId="0" fillId="0" borderId="4" xfId="0" applyBorder="1" applyAlignment="1">
      <alignment vertical="center"/>
    </xf>
    <xf numFmtId="0" fontId="36" fillId="0" borderId="0" xfId="0" applyFont="1" applyAlignment="1">
      <alignment horizontal="left" vertical="center" wrapText="1" indent="1"/>
    </xf>
    <xf numFmtId="0" fontId="0" fillId="20" borderId="14" xfId="0" applyFill="1" applyBorder="1" applyAlignment="1">
      <alignment horizontal="center" vertical="center"/>
    </xf>
    <xf numFmtId="0" fontId="37" fillId="0" borderId="0" xfId="0" applyFont="1" applyAlignment="1">
      <alignment horizontal="left" vertical="center" wrapText="1" indent="1"/>
    </xf>
    <xf numFmtId="0" fontId="37" fillId="21" borderId="14" xfId="0" applyFont="1" applyFill="1" applyBorder="1" applyAlignment="1">
      <alignment horizontal="center" vertical="center"/>
    </xf>
    <xf numFmtId="0" fontId="38" fillId="0" borderId="0" xfId="0" applyFont="1" applyAlignment="1">
      <alignment horizontal="left" vertical="center" wrapText="1" indent="1"/>
    </xf>
    <xf numFmtId="0" fontId="0" fillId="22" borderId="14" xfId="0" applyFill="1" applyBorder="1" applyAlignment="1">
      <alignment horizontal="center" vertical="center"/>
    </xf>
    <xf numFmtId="0" fontId="0" fillId="23" borderId="14" xfId="0" applyFill="1" applyBorder="1" applyAlignment="1">
      <alignment horizontal="center" vertical="center"/>
    </xf>
    <xf numFmtId="0" fontId="17" fillId="0" borderId="0" xfId="0" applyFont="1" applyAlignment="1">
      <alignment horizontal="left" vertical="center" wrapText="1" indent="1"/>
    </xf>
    <xf numFmtId="0" fontId="39" fillId="0" borderId="0" xfId="0" applyFont="1" applyAlignment="1">
      <alignment horizontal="left" vertical="center" wrapText="1" indent="1"/>
    </xf>
    <xf numFmtId="0" fontId="0" fillId="24" borderId="14" xfId="0" applyFill="1" applyBorder="1" applyAlignment="1">
      <alignment horizontal="center" vertical="center"/>
    </xf>
    <xf numFmtId="0" fontId="0" fillId="25" borderId="14" xfId="0" applyFill="1" applyBorder="1" applyAlignment="1">
      <alignment horizontal="center" vertical="center"/>
    </xf>
    <xf numFmtId="0" fontId="40" fillId="0" borderId="0" xfId="0" applyFont="1" applyAlignment="1">
      <alignment horizontal="left" vertical="center" wrapText="1" indent="1"/>
    </xf>
    <xf numFmtId="0" fontId="0" fillId="26" borderId="14" xfId="0" applyFill="1" applyBorder="1" applyAlignment="1">
      <alignment horizontal="center" vertical="center"/>
    </xf>
    <xf numFmtId="0" fontId="0" fillId="0" borderId="0" xfId="0" applyAlignment="1">
      <alignment horizontal="left" vertical="center" wrapText="1" indent="1"/>
    </xf>
    <xf numFmtId="0" fontId="0" fillId="27" borderId="14" xfId="0" applyFill="1" applyBorder="1" applyAlignment="1">
      <alignment horizontal="center" vertical="center"/>
    </xf>
    <xf numFmtId="0" fontId="0" fillId="28" borderId="14" xfId="0" applyFill="1" applyBorder="1" applyAlignment="1">
      <alignment horizontal="center" vertical="center"/>
    </xf>
    <xf numFmtId="0" fontId="0" fillId="29" borderId="14" xfId="0" applyFill="1" applyBorder="1" applyAlignment="1">
      <alignment horizontal="center" vertical="center"/>
    </xf>
    <xf numFmtId="0" fontId="0" fillId="30" borderId="14" xfId="0" applyFill="1" applyBorder="1" applyAlignment="1">
      <alignment horizontal="center" vertical="center"/>
    </xf>
    <xf numFmtId="0" fontId="0" fillId="31" borderId="14" xfId="0" applyFill="1" applyBorder="1" applyAlignment="1">
      <alignment horizontal="center" vertical="center"/>
    </xf>
    <xf numFmtId="0" fontId="0" fillId="0" borderId="15" xfId="0" applyBorder="1" applyAlignment="1">
      <alignment vertical="center"/>
    </xf>
    <xf numFmtId="0" fontId="5" fillId="0" borderId="0" xfId="0" applyFont="1" applyAlignment="1">
      <alignment horizontal="center"/>
    </xf>
    <xf numFmtId="0" fontId="41" fillId="0" borderId="0" xfId="0" applyFont="1" applyAlignment="1"/>
    <xf numFmtId="14" fontId="0" fillId="0" borderId="0" xfId="0" applyNumberFormat="1" applyAlignment="1">
      <alignment horizontal="center"/>
    </xf>
    <xf numFmtId="0" fontId="42" fillId="0" borderId="0" xfId="0" applyFont="1" applyAlignment="1"/>
    <xf numFmtId="0" fontId="43" fillId="0" borderId="0" xfId="30" applyFont="1" applyFill="1" applyAlignment="1"/>
    <xf numFmtId="0" fontId="0" fillId="32" borderId="0" xfId="0" applyFill="1" applyAlignment="1"/>
    <xf numFmtId="0" fontId="29" fillId="6" borderId="0" xfId="32" applyFont="1" applyFill="1" applyAlignment="1">
      <alignment horizontal="left" vertical="center" indent="1"/>
    </xf>
    <xf numFmtId="0" fontId="0" fillId="6" borderId="0" xfId="0" applyFill="1"/>
    <xf numFmtId="0" fontId="32" fillId="10" borderId="0" xfId="24" applyFont="1" applyFill="1" applyAlignment="1">
      <alignment horizontal="center" vertical="center"/>
    </xf>
    <xf numFmtId="0" fontId="32" fillId="14" borderId="0" xfId="0" applyFont="1" applyFill="1" applyAlignment="1">
      <alignment horizontal="center" vertical="center"/>
    </xf>
    <xf numFmtId="0" fontId="32" fillId="15" borderId="0" xfId="0" applyFont="1" applyFill="1" applyAlignment="1">
      <alignment horizontal="center" vertical="center"/>
    </xf>
    <xf numFmtId="0" fontId="32" fillId="16" borderId="0" xfId="0" applyFont="1" applyFill="1" applyAlignment="1">
      <alignment horizontal="center" vertical="center"/>
    </xf>
    <xf numFmtId="0" fontId="33" fillId="17" borderId="0" xfId="0" applyFont="1" applyFill="1" applyAlignment="1">
      <alignment horizontal="center" vertical="center"/>
    </xf>
    <xf numFmtId="0" fontId="0" fillId="19" borderId="0" xfId="0" applyFill="1" applyAlignment="1"/>
    <xf numFmtId="0" fontId="13" fillId="33" borderId="0" xfId="32" applyFont="1" applyFill="1" applyAlignment="1">
      <alignment horizontal="left" vertical="center"/>
    </xf>
    <xf numFmtId="0" fontId="30" fillId="33" borderId="0" xfId="0" applyFont="1" applyFill="1" applyAlignment="1">
      <alignment horizontal="left" vertical="center"/>
    </xf>
    <xf numFmtId="0" fontId="0" fillId="33" borderId="0" xfId="0" applyFill="1" applyAlignment="1">
      <alignment vertical="center"/>
    </xf>
    <xf numFmtId="0" fontId="11" fillId="33" borderId="0" xfId="0" applyFont="1" applyFill="1" applyAlignment="1">
      <alignment horizontal="center" vertical="center"/>
    </xf>
    <xf numFmtId="0" fontId="11" fillId="33" borderId="0" xfId="0" applyFont="1" applyFill="1" applyAlignment="1">
      <alignment vertical="center"/>
    </xf>
    <xf numFmtId="0" fontId="0" fillId="33" borderId="0" xfId="0" applyFill="1" applyAlignment="1"/>
    <xf numFmtId="0" fontId="45" fillId="33" borderId="0" xfId="27" applyFont="1" applyFill="1" applyAlignment="1">
      <alignment horizontal="left" vertical="center" indent="1"/>
    </xf>
    <xf numFmtId="0" fontId="11" fillId="33" borderId="0" xfId="27" applyFont="1" applyFill="1" applyAlignment="1">
      <alignment horizontal="left" vertical="center" indent="1"/>
    </xf>
    <xf numFmtId="0" fontId="0" fillId="33" borderId="0" xfId="0" applyFill="1" applyAlignment="1">
      <alignment horizontal="left" vertical="center" indent="1"/>
    </xf>
    <xf numFmtId="0" fontId="0" fillId="33" borderId="0" xfId="0" applyFill="1" applyAlignment="1">
      <alignment horizontal="center"/>
    </xf>
    <xf numFmtId="0" fontId="5" fillId="33" borderId="0" xfId="0" applyFont="1" applyFill="1" applyAlignment="1">
      <alignment horizontal="right" vertical="center"/>
    </xf>
    <xf numFmtId="0" fontId="45" fillId="33" borderId="0" xfId="0" applyFont="1" applyFill="1" applyAlignment="1">
      <alignment horizontal="left" vertical="center" indent="1"/>
    </xf>
    <xf numFmtId="0" fontId="9" fillId="33" borderId="0" xfId="29" applyFont="1" applyFill="1" applyAlignment="1">
      <alignment horizontal="left" vertical="center" indent="1"/>
    </xf>
    <xf numFmtId="164" fontId="9" fillId="33" borderId="0" xfId="21" applyFont="1" applyFill="1" applyAlignment="1">
      <alignment horizontal="left" vertical="center"/>
    </xf>
    <xf numFmtId="164" fontId="7" fillId="33" borderId="0" xfId="21" applyFont="1" applyFill="1" applyAlignment="1">
      <alignment horizontal="left" vertical="center" indent="1"/>
    </xf>
    <xf numFmtId="0" fontId="31" fillId="0" borderId="0" xfId="0" applyFont="1" applyAlignment="1">
      <alignment vertical="center"/>
    </xf>
    <xf numFmtId="0" fontId="34" fillId="0" borderId="0" xfId="0" applyFont="1" applyAlignment="1">
      <alignment vertical="center"/>
    </xf>
    <xf numFmtId="0" fontId="34" fillId="0" borderId="0" xfId="0" applyFont="1" applyAlignment="1"/>
    <xf numFmtId="0" fontId="5" fillId="33" borderId="0" xfId="0" applyFont="1" applyFill="1" applyAlignment="1">
      <alignment horizontal="left" vertical="center"/>
    </xf>
    <xf numFmtId="165" fontId="5" fillId="19" borderId="16" xfId="0" applyNumberFormat="1" applyFont="1" applyFill="1" applyBorder="1" applyAlignment="1">
      <alignment horizontal="center" vertical="center"/>
    </xf>
    <xf numFmtId="165" fontId="5" fillId="19" borderId="0" xfId="0" applyNumberFormat="1" applyFont="1" applyFill="1" applyAlignment="1">
      <alignment horizontal="center" vertical="center"/>
    </xf>
    <xf numFmtId="165" fontId="5" fillId="19" borderId="17" xfId="0" applyNumberFormat="1" applyFont="1" applyFill="1" applyBorder="1" applyAlignment="1">
      <alignment horizontal="center" vertical="center"/>
    </xf>
    <xf numFmtId="165" fontId="5" fillId="19" borderId="6" xfId="0" applyNumberFormat="1" applyFont="1" applyFill="1" applyBorder="1" applyAlignment="1">
      <alignment horizontal="center" vertical="center"/>
    </xf>
    <xf numFmtId="165" fontId="0" fillId="19" borderId="18" xfId="0" applyNumberFormat="1" applyFill="1" applyBorder="1" applyAlignment="1">
      <alignment horizontal="center" vertical="center"/>
    </xf>
    <xf numFmtId="165" fontId="0" fillId="19" borderId="5" xfId="0" applyNumberFormat="1" applyFill="1" applyBorder="1" applyAlignment="1">
      <alignment horizontal="center" vertical="center"/>
    </xf>
    <xf numFmtId="165" fontId="0" fillId="19" borderId="19" xfId="0" applyNumberFormat="1" applyFill="1" applyBorder="1" applyAlignment="1">
      <alignment horizontal="center" vertical="center"/>
    </xf>
    <xf numFmtId="0" fontId="2" fillId="8" borderId="0" xfId="0" applyFont="1" applyFill="1" applyAlignment="1">
      <alignment horizontal="left" vertical="center" indent="1"/>
    </xf>
    <xf numFmtId="0" fontId="2" fillId="8" borderId="0" xfId="0" applyFont="1" applyFill="1" applyAlignment="1">
      <alignment horizontal="center" vertical="center" wrapText="1"/>
    </xf>
    <xf numFmtId="0" fontId="3" fillId="33" borderId="0" xfId="0" applyFont="1" applyFill="1" applyAlignment="1">
      <alignment horizontal="center" vertical="center" wrapText="1"/>
    </xf>
    <xf numFmtId="0" fontId="5" fillId="19" borderId="4" xfId="0" applyFont="1" applyFill="1" applyBorder="1" applyAlignment="1">
      <alignment horizontal="center" vertical="center" shrinkToFit="1"/>
    </xf>
    <xf numFmtId="0" fontId="3" fillId="2" borderId="0" xfId="0" applyFont="1" applyFill="1" applyAlignment="1">
      <alignment horizontal="left" vertical="center" wrapText="1" indent="1"/>
    </xf>
    <xf numFmtId="0" fontId="5" fillId="2" borderId="0" xfId="0" applyFont="1" applyFill="1" applyAlignment="1">
      <alignment horizontal="center" vertical="center"/>
    </xf>
    <xf numFmtId="9" fontId="8" fillId="2" borderId="0" xfId="31" applyFont="1" applyFill="1" applyAlignment="1">
      <alignment horizontal="center" vertical="center"/>
    </xf>
    <xf numFmtId="164" fontId="9" fillId="2" borderId="0" xfId="21" applyFont="1" applyFill="1" applyAlignment="1">
      <alignment horizontal="center" vertical="center"/>
    </xf>
    <xf numFmtId="166" fontId="9" fillId="2" borderId="0" xfId="26" applyFont="1" applyFill="1" applyAlignment="1">
      <alignment horizontal="center" vertical="center"/>
    </xf>
    <xf numFmtId="0" fontId="0" fillId="33" borderId="0" xfId="0" applyFill="1" applyAlignment="1">
      <alignment horizontal="center" vertical="center"/>
    </xf>
    <xf numFmtId="0" fontId="0" fillId="33" borderId="20" xfId="0" applyFill="1" applyBorder="1" applyAlignment="1">
      <alignment horizontal="center" vertical="center"/>
    </xf>
    <xf numFmtId="0" fontId="0" fillId="33" borderId="21" xfId="0" applyFill="1" applyBorder="1" applyAlignment="1">
      <alignment horizontal="center" vertical="center"/>
    </xf>
    <xf numFmtId="0" fontId="5" fillId="2" borderId="0" xfId="0" applyFont="1" applyFill="1" applyAlignment="1">
      <alignment horizontal="left" vertical="center" wrapText="1" indent="1"/>
    </xf>
    <xf numFmtId="0" fontId="0" fillId="33" borderId="22" xfId="0" applyFill="1" applyBorder="1" applyAlignment="1">
      <alignment vertical="center"/>
    </xf>
    <xf numFmtId="0" fontId="5" fillId="33" borderId="0" xfId="0" applyFont="1" applyFill="1" applyAlignment="1">
      <alignment horizontal="left" vertical="center" wrapText="1" indent="1"/>
    </xf>
    <xf numFmtId="164" fontId="7" fillId="33" borderId="0" xfId="21" applyFont="1" applyFill="1" applyAlignment="1">
      <alignment horizontal="center" vertical="center"/>
    </xf>
    <xf numFmtId="166" fontId="7" fillId="33" borderId="0" xfId="26" applyFont="1" applyFill="1" applyAlignment="1">
      <alignment horizontal="center" vertical="center"/>
    </xf>
    <xf numFmtId="0" fontId="44" fillId="19" borderId="0" xfId="32" applyFont="1" applyFill="1" applyAlignment="1">
      <alignment horizontal="left" vertical="center" indent="1"/>
    </xf>
    <xf numFmtId="0" fontId="0" fillId="19" borderId="0" xfId="0" applyFill="1"/>
    <xf numFmtId="0" fontId="5" fillId="13" borderId="0" xfId="0" applyFont="1" applyFill="1" applyAlignment="1"/>
    <xf numFmtId="0" fontId="3" fillId="13" borderId="0" xfId="0" applyFont="1" applyFill="1" applyAlignment="1">
      <alignment horizontal="left" vertical="center" indent="1"/>
    </xf>
    <xf numFmtId="0" fontId="3" fillId="13" borderId="0" xfId="0" applyFont="1" applyFill="1" applyAlignment="1">
      <alignment horizontal="center" vertical="center" wrapText="1"/>
    </xf>
    <xf numFmtId="0" fontId="2" fillId="0" borderId="0" xfId="0" applyFont="1" applyAlignment="1">
      <alignment horizontal="left" vertical="center" wrapText="1" indent="1"/>
    </xf>
    <xf numFmtId="0" fontId="44" fillId="13" borderId="0" xfId="32" applyFont="1" applyFill="1" applyAlignment="1">
      <alignment horizontal="left" vertical="center" indent="1"/>
    </xf>
    <xf numFmtId="0" fontId="0" fillId="13" borderId="0" xfId="0" applyFill="1"/>
  </cellXfs>
  <cellStyles count="41">
    <cellStyle name="Accent" xfId="7" xr:uid="{DD578DF4-6988-47A2-AE38-58A3F9B1FD91}"/>
    <cellStyle name="Accent 1" xfId="8" xr:uid="{CAF4A7DB-08E2-4B90-8935-A685B2CFF540}"/>
    <cellStyle name="Accent 2" xfId="9" xr:uid="{D1C23C47-C762-455B-BD30-7B8D41817BA0}"/>
    <cellStyle name="Accent 3" xfId="10" xr:uid="{33AC5143-A949-4710-A815-B72D5C2B56B5}"/>
    <cellStyle name="Bad" xfId="4" builtinId="27" customBuiltin="1"/>
    <cellStyle name="cf1" xfId="11" xr:uid="{A775AB15-3605-4F02-8818-48731D405CF1}"/>
    <cellStyle name="cf2" xfId="12" xr:uid="{6EC4AD61-E15D-49D4-A7C1-87EBCA42FAEA}"/>
    <cellStyle name="cf3" xfId="13" xr:uid="{D060A0F2-B817-4723-AF2C-ABBE712DB887}"/>
    <cellStyle name="cf4" xfId="14" xr:uid="{761400DB-43E6-4B43-9F4C-5CAC029BF930}"/>
    <cellStyle name="cf5" xfId="15" xr:uid="{ABEA07D5-B71E-46DE-8F73-3235E8A0F12B}"/>
    <cellStyle name="cf6" xfId="16" xr:uid="{F6D207C0-7BB5-434B-B37B-50F7E7089EB6}"/>
    <cellStyle name="cf7" xfId="17" xr:uid="{22E36538-B870-427C-A158-90F3F09A4FD3}"/>
    <cellStyle name="cf8" xfId="18" xr:uid="{777D02AC-B1CA-45DE-86A9-5D43803A4A06}"/>
    <cellStyle name="cf9" xfId="19" xr:uid="{B1D921D1-C171-4476-BF88-E95E019C1FB9}"/>
    <cellStyle name="ConditionalStyle_1" xfId="20" xr:uid="{66290648-68E0-47C1-9B34-5CFCB51A6800}"/>
    <cellStyle name="Date" xfId="21" xr:uid="{9F2272B9-0718-41C9-8513-1E37DABFF0DD}"/>
    <cellStyle name="Default" xfId="22" xr:uid="{8E245541-E806-4ABF-AB18-7DED2EFE6962}"/>
    <cellStyle name="Error" xfId="23" xr:uid="{560D4E46-17DC-4B24-B352-E82D1F79FA8C}"/>
    <cellStyle name="Excel Built-in Accent3" xfId="24" xr:uid="{FABD5B2D-B71B-464E-A83E-A0E5E756E3EB}"/>
    <cellStyle name="Excel Built-in Comma" xfId="25" xr:uid="{064D2161-AE69-43DC-ABA4-BC7214EDBF42}"/>
    <cellStyle name="Excel Built-in Comma [0]" xfId="26" xr:uid="{5BA845A7-830F-4BF7-B7A9-4D39216D0000}"/>
    <cellStyle name="Excel Built-in Heading 1" xfId="27" xr:uid="{49DE274F-8ACB-4396-95AF-29C80F10333B}"/>
    <cellStyle name="Excel Built-in Heading 2" xfId="28" xr:uid="{764A84F1-3054-4261-AD9A-DCFADB7E0F0F}"/>
    <cellStyle name="Excel Built-in Heading 3" xfId="29" xr:uid="{52774CB7-D718-4F4C-A7E7-C7E443C68074}"/>
    <cellStyle name="Excel Built-in Hyperlink" xfId="30" xr:uid="{828C81D7-10A8-4459-A56F-761B3A3FDA92}"/>
    <cellStyle name="Excel Built-in Percent" xfId="31" xr:uid="{CE8007E4-76EA-4DDF-A23E-67660D9D5A39}"/>
    <cellStyle name="Excel Built-in Title" xfId="32" xr:uid="{16D33C94-5B15-4BB6-A4A7-6E9BC1DF7833}"/>
    <cellStyle name="Footnote" xfId="33" xr:uid="{5076F952-3AB4-4DC0-BA2C-3E3E540E12BB}"/>
    <cellStyle name="Good" xfId="3" builtinId="26" customBuiltin="1"/>
    <cellStyle name="Heading" xfId="34" xr:uid="{39F761BC-BDE8-4298-B669-93BF98AC000C}"/>
    <cellStyle name="Heading 1" xfId="1" builtinId="16" customBuiltin="1"/>
    <cellStyle name="Heading 2" xfId="2" builtinId="17" customBuiltin="1"/>
    <cellStyle name="Hyperlink" xfId="35" xr:uid="{A02DA59C-29E2-49FF-A7A9-E7E80DAB1F7E}"/>
    <cellStyle name="Neutral" xfId="5" builtinId="28" customBuiltin="1"/>
    <cellStyle name="Normal" xfId="0" builtinId="0" customBuiltin="1"/>
    <cellStyle name="Note" xfId="6" builtinId="10" customBuiltin="1"/>
    <cellStyle name="Result" xfId="36" xr:uid="{AFB544A6-F1A9-4084-A3E9-7B9D1DADD5DA}"/>
    <cellStyle name="Status" xfId="37" xr:uid="{EBDA151C-7C39-49F4-A8D9-7FAB9BEF5AA3}"/>
    <cellStyle name="Text" xfId="38" xr:uid="{69B03D45-5AC2-4489-A519-F2656F30EE53}"/>
    <cellStyle name="Warning" xfId="39" xr:uid="{D8E82F17-9387-44E8-BBC6-62577B5DA165}"/>
    <cellStyle name="zHiddenText" xfId="40" xr:uid="{82C2FA57-0708-4DFB-9022-A6AD201BE918}"/>
  </cellStyles>
  <dxfs count="14">
    <dxf>
      <font>
        <b/>
        <color rgb="FFFFFFFF"/>
        <family val="2"/>
      </font>
      <border>
        <start style="thin">
          <color rgb="FFC00000"/>
        </start>
        <end style="thin">
          <color rgb="FFC00000"/>
        </end>
        <top/>
        <bottom/>
      </border>
    </dxf>
    <dxf>
      <font>
        <color rgb="FF000000"/>
        <family val="2"/>
      </font>
      <fill>
        <patternFill patternType="solid">
          <fgColor rgb="FFF2F2F2"/>
          <bgColor rgb="FFF2F2F2"/>
        </patternFill>
      </fill>
      <border>
        <start/>
        <end/>
        <top/>
        <bottom style="thin">
          <color rgb="FFA6A6A6"/>
        </bottom>
      </border>
    </dxf>
    <dxf>
      <font>
        <b/>
        <color rgb="FFFFFFFF"/>
        <family val="2"/>
      </font>
      <border>
        <start style="thin">
          <color rgb="FFC00000"/>
        </start>
        <end style="thin">
          <color rgb="FFC00000"/>
        </end>
        <top/>
        <bottom/>
      </border>
    </dxf>
    <dxf>
      <font>
        <color rgb="FFFFFFFF"/>
        <family val="2"/>
      </font>
      <fill>
        <patternFill patternType="solid">
          <fgColor rgb="FF7F7F7F"/>
          <bgColor rgb="FF7F7F7F"/>
        </patternFill>
      </fill>
    </dxf>
    <dxf>
      <font>
        <b/>
        <color rgb="FFFFFFFF"/>
        <family val="2"/>
      </font>
      <border>
        <start style="thin">
          <color rgb="FFC00000"/>
        </start>
        <end style="thin">
          <color rgb="FFC00000"/>
        </end>
        <top/>
        <bottom/>
      </border>
    </dxf>
    <dxf>
      <font>
        <color rgb="FF000000"/>
        <family val="2"/>
      </font>
      <fill>
        <patternFill patternType="solid">
          <fgColor rgb="FFF2F2F2"/>
          <bgColor rgb="FFF2F2F2"/>
        </patternFill>
      </fill>
      <border>
        <start/>
        <end/>
        <top/>
        <bottom style="thin">
          <color rgb="FFA6A6A6"/>
        </bottom>
      </border>
    </dxf>
    <dxf>
      <font>
        <color rgb="FF000000"/>
        <family val="2"/>
      </font>
      <fill>
        <patternFill patternType="solid">
          <fgColor rgb="FFF2F2F2"/>
          <bgColor rgb="FFF2F2F2"/>
        </patternFill>
      </fill>
      <border>
        <start/>
        <end/>
        <top/>
        <bottom style="thin">
          <color rgb="FFA6A6A6"/>
        </bottom>
      </border>
    </dxf>
    <dxf>
      <font>
        <b/>
        <color rgb="FFFFFFFF"/>
        <family val="2"/>
      </font>
      <border>
        <start style="thin">
          <color rgb="FFC00000"/>
        </start>
        <end style="thin">
          <color rgb="FFC00000"/>
        </end>
        <top/>
        <bottom/>
      </border>
    </dxf>
    <dxf>
      <font>
        <color rgb="FF000000"/>
        <family val="2"/>
      </font>
      <fill>
        <patternFill patternType="solid">
          <fgColor rgb="FFF2F2F2"/>
          <bgColor rgb="FFF2F2F2"/>
        </patternFill>
      </fill>
      <border>
        <start/>
        <end/>
        <top/>
        <bottom style="thin">
          <color rgb="FFA6A6A6"/>
        </bottom>
      </border>
    </dxf>
    <dxf>
      <font>
        <b/>
        <color rgb="FFFFFFFF"/>
        <family val="2"/>
      </font>
      <border>
        <start style="thin">
          <color rgb="FFC00000"/>
        </start>
        <end style="thin">
          <color rgb="FFC00000"/>
        </end>
        <top/>
        <bottom/>
      </border>
    </dxf>
    <dxf>
      <font>
        <color rgb="FFFFFFFF"/>
        <family val="2"/>
      </font>
      <fill>
        <patternFill patternType="solid">
          <fgColor rgb="FF7F7F7F"/>
          <bgColor rgb="FF7F7F7F"/>
        </patternFill>
      </fill>
    </dxf>
    <dxf>
      <font>
        <b/>
        <color rgb="FFFFFFFF"/>
        <family val="2"/>
      </font>
      <border>
        <start style="thin">
          <color rgb="FFC00000"/>
        </start>
        <end style="thin">
          <color rgb="FFC00000"/>
        </end>
        <top/>
        <bottom/>
      </border>
    </dxf>
    <dxf>
      <font>
        <color rgb="FF000000"/>
        <family val="2"/>
      </font>
      <fill>
        <patternFill patternType="solid">
          <fgColor rgb="FFF2F2F2"/>
          <bgColor rgb="FFF2F2F2"/>
        </patternFill>
      </fill>
      <border>
        <start/>
        <end/>
        <top/>
        <bottom style="thin">
          <color rgb="FFA6A6A6"/>
        </bottom>
      </border>
    </dxf>
    <dxf>
      <font>
        <color rgb="FF000000"/>
        <family val="2"/>
      </font>
      <fill>
        <patternFill patternType="solid">
          <fgColor rgb="FFF2F2F2"/>
          <bgColor rgb="FFF2F2F2"/>
        </patternFill>
      </fill>
      <border>
        <start/>
        <end/>
        <top/>
        <bottom style="thin">
          <color rgb="FFA6A6A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alcChain" Target="calcChain.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worksheet" Target="worksheets/sheet4.xml"/></Relationships>
</file>

<file path=xl/drawings/drawing1.xml><?xml version="1.0" encoding="utf-8"?>
<xdr:wsDr xmlns:xdr="http://purl.oclc.org/ooxml/drawingml/spreadsheetDrawing" xmlns:a="http://purl.oclc.org/ooxml/drawingml/main">
  <xdr:oneCellAnchor>
    <xdr:from>
      <xdr:col>4</xdr:col>
      <xdr:colOff>2362315</xdr:colOff>
      <xdr:row>1</xdr:row>
      <xdr:rowOff>15124</xdr:rowOff>
    </xdr:from>
    <xdr:ext cx="660599" cy="586441"/>
    <xdr:pic>
      <xdr:nvPicPr>
        <xdr:cNvPr id="2" name="Graphic 1" descr="Gantt Chart with solid fill">
          <a:extLst>
            <a:ext uri="{FF2B5EF4-FFF2-40B4-BE49-F238E27FC236}">
              <a16:creationId xmlns:a16="http://schemas.microsoft.com/office/drawing/2014/main" id="{F2F0A84E-565C-0B2E-196A-B1F2263CCB8F}"/>
            </a:ext>
          </a:extLst>
        </xdr:cNvPr>
        <xdr:cNvPicPr>
          <a:picLocks noChangeAspect="1"/>
        </xdr:cNvPicPr>
      </xdr:nvPicPr>
      <xdr:blipFill>
        <a:blip xmlns:r="http://purl.oclc.org/ooxml/officeDocument/relationships"/>
        <a:stretch>
          <a:fillRect/>
        </a:stretch>
      </xdr:blipFill>
      <xdr:spPr>
        <a:xfrm>
          <a:off x="8620240" y="377074"/>
          <a:ext cx="660599" cy="586441"/>
        </a:xfrm>
        <a:prstGeom prst="rect">
          <a:avLst/>
        </a:prstGeom>
      </xdr:spPr>
    </xdr:pic>
    <xdr:clientData/>
  </xdr:oneCellAnchor>
</xdr:wsDr>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BF7F0058-233D-45CE-B82F-41EDDDF97EC1}" name="Milestones4352" displayName="Milestones4352" ref="B9:G32" totalsRowShown="0">
  <autoFilter ref="B9:G32" xr:uid="{041EEFE5-72FB-42D1-AC5F-72453744113F}"/>
  <tableColumns count="6">
    <tableColumn id="1" xr3:uid="{3B9865C6-74CC-45D2-981F-E4FA4D249A78}" name="Milestone description"/>
    <tableColumn id="2" xr3:uid="{42307CF8-9467-4E0C-9B21-CE3C95313404}" name="Category"/>
    <tableColumn id="3" xr3:uid="{9EC870A1-2EB6-4E10-9BBC-F13F7BE7C9DD}" name="Assigned to"/>
    <tableColumn id="4" xr3:uid="{38CCF9D7-812C-489D-A5F8-A241F45A6B54}" name="Progress"/>
    <tableColumn id="5" xr3:uid="{1B5F4D6A-D83B-4F02-BD04-73AC9503A600}" name="Start"/>
    <tableColumn id="6" xr3:uid="{DE3AD311-6E9A-45CB-919B-AA34D7BFBCEC}" name="Days"/>
  </tableColumns>
  <tableStyleInfo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96D3BB25-40AB-400D-A78C-F2BE4B9988F2}" name="Milestones435" displayName="Milestones435" ref="B9:G36" totalsRowShown="0">
  <autoFilter ref="B9:G36" xr:uid="{CABFB000-B1B0-4BA4-8E62-AA2D3295A4DA}"/>
  <tableColumns count="6">
    <tableColumn id="1" xr3:uid="{ABBA6396-B57B-4FE1-844E-A5F432538A10}" name="Milestone description"/>
    <tableColumn id="2" xr3:uid="{DE9C649D-0CFB-415D-90CE-5BEE503C17BA}" name="Category"/>
    <tableColumn id="3" xr3:uid="{59C1A6B3-E7A7-43BE-BF68-1F6BAE3238AE}" name="Assigned to"/>
    <tableColumn id="4" xr3:uid="{D7D98330-49C9-474D-B866-92449AA95AC9}" name="Progress"/>
    <tableColumn id="5" xr3:uid="{BD95764F-FA96-42E8-A8CB-50B4BBB68189}" name="Start"/>
    <tableColumn id="6" xr3:uid="{0EA98DE7-21ED-4CB1-8CA8-22CB4ECAEF17}" name="Days"/>
  </tableColumns>
  <tableStyleInfo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4BFE2037-AACA-400E-9A61-FAF4E1A1FE7E}" name="Milestones43524" displayName="Milestones43524" ref="B9:G36" totalsRowShown="0">
  <autoFilter ref="B9:G36" xr:uid="{DE4DB7B2-7AEE-4D21-AFC1-1B64DEA2C1CD}"/>
  <tableColumns count="6">
    <tableColumn id="1" xr3:uid="{164E7D49-FF3B-4255-BACF-EDBB6C6AC1D9}" name="Milestone description"/>
    <tableColumn id="2" xr3:uid="{670EFC1F-B66D-4B8B-BD79-4B0CFBE06158}" name="Category"/>
    <tableColumn id="3" xr3:uid="{867BB739-1F06-41D3-824D-DF5BFA454A86}" name="Assigned to"/>
    <tableColumn id="4" xr3:uid="{C21C9FBA-1DAA-40F1-85E1-3E5E11F6ABA3}" name="Progress"/>
    <tableColumn id="5" xr3:uid="{80B0DEB6-3FB8-43B3-A963-2413BF0E1A67}" name="Start"/>
    <tableColumn id="6" xr3:uid="{8377F2BB-49D8-4D5D-A8B8-139CA99B84C9}" name="Days"/>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3.xml.rels><?xml version="1.0" encoding="UTF-8" standalone="yes"?>
<Relationships xmlns="http://schemas.openxmlformats.org/package/2006/relationships"><Relationship Id="rId1" Type="http://purl.oclc.org/ooxml/officeDocument/relationships/table" Target="../tables/table2.xml"/></Relationships>
</file>

<file path=xl/worksheets/_rels/sheet4.xml.rels><?xml version="1.0" encoding="UTF-8" standalone="yes"?>
<Relationships xmlns="http://schemas.openxmlformats.org/package/2006/relationships"><Relationship Id="rId1" Type="http://purl.oclc.org/ooxml/officeDocument/relationships/table" Target="../tables/table3.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28F6-B74E-4C8F-B216-FEE32A868476}">
  <dimension ref="A1:M19"/>
  <sheetViews>
    <sheetView workbookViewId="0"/>
  </sheetViews>
  <sheetFormatPr defaultColWidth="9.7109375" defaultRowHeight="12.75"/>
  <cols>
    <col min="1" max="1" width="5" style="8" customWidth="1"/>
    <col min="2" max="2" width="2.85546875" style="8" customWidth="1"/>
    <col min="3" max="5" width="43" style="4" customWidth="1"/>
    <col min="6" max="6" width="2.85546875" style="4" customWidth="1"/>
    <col min="7" max="7" width="9.7109375" style="4" customWidth="1"/>
    <col min="8" max="16384" width="9.7109375" style="4"/>
  </cols>
  <sheetData>
    <row r="1" spans="1:13" s="1" customFormat="1" ht="28.5">
      <c r="D1" s="2"/>
    </row>
    <row r="2" spans="1:13" ht="49.5" customHeight="1">
      <c r="A2" s="1"/>
      <c r="B2" s="3"/>
      <c r="C2" s="11" t="s">
        <v>0</v>
      </c>
      <c r="D2" s="11"/>
      <c r="E2" s="11"/>
      <c r="F2" s="3"/>
      <c r="G2" s="1"/>
      <c r="H2" s="1"/>
      <c r="I2" s="1"/>
      <c r="J2" s="1"/>
      <c r="K2" s="1"/>
      <c r="L2" s="1"/>
      <c r="M2" s="1"/>
    </row>
    <row r="3" spans="1:13" ht="14.25" customHeight="1">
      <c r="A3" s="1"/>
      <c r="B3" s="5"/>
      <c r="C3" s="6"/>
      <c r="D3" s="7"/>
      <c r="E3" s="5"/>
      <c r="F3" s="5"/>
      <c r="G3" s="1"/>
      <c r="H3" s="1"/>
      <c r="I3" s="1"/>
      <c r="J3" s="1"/>
      <c r="K3" s="1"/>
      <c r="L3" s="1"/>
      <c r="M3" s="1"/>
    </row>
    <row r="4" spans="1:13" s="8" customFormat="1" ht="66.75" customHeight="1">
      <c r="A4" s="1"/>
      <c r="B4" s="5"/>
      <c r="C4" s="12" t="s">
        <v>1</v>
      </c>
      <c r="D4" s="12"/>
      <c r="E4" s="12"/>
      <c r="F4" s="5"/>
      <c r="G4" s="1"/>
      <c r="H4" s="1"/>
      <c r="I4" s="1"/>
      <c r="J4" s="1"/>
      <c r="K4" s="1"/>
      <c r="L4" s="1"/>
      <c r="M4" s="1"/>
    </row>
    <row r="5" spans="1:13" s="8" customFormat="1" ht="66.75" customHeight="1">
      <c r="A5" s="1"/>
      <c r="B5" s="5"/>
      <c r="C5" s="12" t="s">
        <v>2</v>
      </c>
      <c r="D5" s="12"/>
      <c r="E5" s="12"/>
      <c r="F5" s="5"/>
      <c r="G5" s="1"/>
      <c r="H5" s="1"/>
      <c r="I5" s="1"/>
      <c r="J5" s="1"/>
      <c r="K5" s="1"/>
      <c r="L5" s="1"/>
      <c r="M5" s="1"/>
    </row>
    <row r="6" spans="1:13">
      <c r="A6" s="4"/>
      <c r="B6" s="9"/>
      <c r="C6" s="9"/>
      <c r="D6" s="10"/>
      <c r="E6" s="9"/>
      <c r="F6" s="9"/>
    </row>
    <row r="7" spans="1:13" ht="49.5" customHeight="1">
      <c r="A7" s="4"/>
      <c r="B7" s="4"/>
    </row>
    <row r="8" spans="1:13" ht="14.25" customHeight="1">
      <c r="A8" s="4"/>
      <c r="B8" s="4"/>
    </row>
    <row r="9" spans="1:13" ht="90" customHeight="1">
      <c r="C9" s="8"/>
      <c r="D9" s="8"/>
      <c r="E9" s="8"/>
      <c r="F9" s="8"/>
      <c r="G9" s="8"/>
      <c r="H9" s="8"/>
    </row>
    <row r="10" spans="1:13" ht="14.25" customHeight="1">
      <c r="A10" s="4"/>
      <c r="B10" s="4"/>
    </row>
    <row r="11" spans="1:13">
      <c r="A11" s="4"/>
      <c r="B11" s="4"/>
      <c r="D11" s="8"/>
    </row>
    <row r="12" spans="1:13">
      <c r="A12" s="4"/>
      <c r="B12" s="4"/>
      <c r="D12" s="8"/>
    </row>
    <row r="13" spans="1:13">
      <c r="A13" s="4"/>
      <c r="B13" s="4"/>
      <c r="D13" s="8"/>
    </row>
    <row r="14" spans="1:13">
      <c r="A14" s="4"/>
      <c r="B14" s="4"/>
      <c r="D14" s="8"/>
    </row>
    <row r="15" spans="1:13">
      <c r="A15" s="4"/>
      <c r="B15" s="4"/>
      <c r="D15" s="8"/>
    </row>
    <row r="16" spans="1:13">
      <c r="A16" s="4"/>
      <c r="B16" s="4"/>
      <c r="D16" s="8"/>
    </row>
    <row r="17" spans="4:4" s="4" customFormat="1">
      <c r="D17" s="8"/>
    </row>
    <row r="18" spans="4:4" s="4" customFormat="1">
      <c r="D18" s="8"/>
    </row>
    <row r="19" spans="4:4" s="4" customFormat="1">
      <c r="D19" s="8"/>
    </row>
  </sheetData>
  <mergeCells count="3">
    <mergeCell ref="C2:E2"/>
    <mergeCell ref="C4:E4"/>
    <mergeCell ref="C5:E5"/>
  </mergeCells>
  <pageMargins left="0.5" right="0.5" top="0.89370078740157499" bottom="0.89370078740157499" header="0.5" footer="0.5"/>
  <pageSetup paperSize="0" fitToWidth="0" fitToHeight="0" orientation="portrait" horizontalDpi="0" verticalDpi="0" copies="0"/>
  <headerFooter alignWithMargins="0"/>
  <drawing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32DC-EAF4-4D51-9229-A5BA238135EF}">
  <sheetPr>
    <pageSetUpPr fitToPage="1"/>
  </sheetPr>
  <dimension ref="A1:BP33"/>
  <sheetViews>
    <sheetView tabSelected="1" topLeftCell="A3" workbookViewId="0"/>
  </sheetViews>
  <sheetFormatPr defaultColWidth="9.28515625" defaultRowHeight="30" customHeight="1"/>
  <cols>
    <col min="1" max="1" width="5" style="13" customWidth="1"/>
    <col min="2" max="2" width="32.42578125" style="4" customWidth="1"/>
    <col min="3" max="3" width="19.42578125" style="4" bestFit="1" customWidth="1"/>
    <col min="4" max="4" width="23.85546875" style="4" bestFit="1" customWidth="1"/>
    <col min="5" max="5" width="16.5703125" style="4" customWidth="1"/>
    <col min="6" max="6" width="13.85546875" style="14" bestFit="1" customWidth="1"/>
    <col min="7" max="7" width="11" style="4" customWidth="1"/>
    <col min="8" max="8" width="2.85546875" style="4" customWidth="1"/>
    <col min="9" max="64" width="3.7109375" style="4" customWidth="1"/>
    <col min="65" max="65" width="2.85546875" style="4" customWidth="1"/>
    <col min="66" max="66" width="9.28515625" style="4" customWidth="1"/>
    <col min="67" max="16384" width="9.28515625" style="4"/>
  </cols>
  <sheetData>
    <row r="1" spans="1:68" ht="24.75" customHeight="1"/>
    <row r="2" spans="1:68" ht="49.5" customHeight="1">
      <c r="A2" s="15"/>
      <c r="B2" s="83" t="s">
        <v>3</v>
      </c>
      <c r="C2" s="83"/>
      <c r="D2" s="83"/>
      <c r="E2" s="83"/>
      <c r="F2" s="83"/>
      <c r="G2" s="83"/>
      <c r="H2" s="83"/>
      <c r="I2" s="84"/>
      <c r="J2" s="84"/>
      <c r="K2" s="84"/>
      <c r="L2" s="84"/>
      <c r="M2" s="84"/>
      <c r="N2" s="84"/>
      <c r="O2" s="84"/>
      <c r="P2" s="84"/>
      <c r="Q2" s="84"/>
      <c r="R2" s="84"/>
      <c r="S2" s="84"/>
      <c r="T2" s="84"/>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row>
    <row r="3" spans="1:68" ht="19.5" customHeight="1">
      <c r="A3" s="15"/>
      <c r="B3" s="16"/>
      <c r="C3" s="17"/>
      <c r="D3" s="18"/>
      <c r="E3" s="18"/>
      <c r="F3" s="19"/>
      <c r="G3" s="18"/>
      <c r="H3" s="18"/>
      <c r="I3" s="20"/>
      <c r="J3" s="18"/>
      <c r="K3" s="18"/>
      <c r="L3" s="18"/>
    </row>
    <row r="4" spans="1:68" ht="30" customHeight="1">
      <c r="A4" s="15"/>
      <c r="B4" s="21" t="s">
        <v>4</v>
      </c>
      <c r="C4" s="22" t="s">
        <v>5</v>
      </c>
      <c r="D4" s="23"/>
      <c r="G4" s="24" t="s">
        <v>6</v>
      </c>
      <c r="I4" s="85" t="s">
        <v>7</v>
      </c>
      <c r="J4" s="85"/>
      <c r="K4" s="85"/>
      <c r="L4" s="85"/>
      <c r="N4" s="86" t="s">
        <v>8</v>
      </c>
      <c r="O4" s="86"/>
      <c r="P4" s="86"/>
      <c r="Q4" s="86"/>
      <c r="S4" s="87" t="s">
        <v>9</v>
      </c>
      <c r="T4" s="87"/>
      <c r="U4" s="87"/>
      <c r="V4" s="87"/>
      <c r="X4" s="88" t="s">
        <v>10</v>
      </c>
      <c r="Y4" s="88"/>
      <c r="Z4" s="88"/>
      <c r="AA4" s="88"/>
      <c r="AC4" s="89" t="s">
        <v>11</v>
      </c>
      <c r="AD4" s="89"/>
      <c r="AE4" s="89"/>
      <c r="AF4" s="89"/>
    </row>
    <row r="5" spans="1:68" ht="30" customHeight="1">
      <c r="A5" s="15"/>
      <c r="B5" s="25" t="s">
        <v>12</v>
      </c>
      <c r="C5" s="23" t="s">
        <v>13</v>
      </c>
      <c r="D5" s="23"/>
    </row>
    <row r="6" spans="1:68" ht="30" customHeight="1">
      <c r="A6" s="15"/>
      <c r="B6" s="26" t="s">
        <v>14</v>
      </c>
      <c r="C6" s="27" t="d">
        <v>2026-02-22</v>
      </c>
      <c r="D6" s="28"/>
      <c r="I6" s="29" t="str">
        <f ca="1">TEXT(I7,"mmmm")</f>
        <v>February</v>
      </c>
      <c r="J6" s="29"/>
      <c r="K6" s="29"/>
      <c r="L6" s="29"/>
      <c r="M6" s="29"/>
      <c r="N6" s="29"/>
      <c r="O6" s="29"/>
      <c r="P6" s="29" t="str">
        <f ca="1">IF(TEXT(P7,"mmmm")=I6,"",TEXT(P7,"mmmm"))</f>
        <v>March</v>
      </c>
      <c r="Q6" s="29"/>
      <c r="R6" s="29"/>
      <c r="S6" s="29"/>
      <c r="T6" s="29"/>
      <c r="U6" s="29"/>
      <c r="V6" s="29"/>
      <c r="W6" s="29" t="str">
        <f ca="1">IF(OR(TEXT(W7,"mmmm")=P6,TEXT(W7,"mmmm")=I6),"",TEXT(W7,"mmmm"))</f>
        <v/>
      </c>
      <c r="X6" s="29"/>
      <c r="Z6" s="29"/>
      <c r="AA6" s="29"/>
      <c r="AB6" s="29"/>
      <c r="AC6" s="29"/>
      <c r="AD6" s="29" t="str">
        <f ca="1">IF(OR(TEXT(AD7,"mmmm")=W6,TEXT(AD7,"mmmm")=P6,TEXT(AD7,"mmmm")=I6),"",TEXT(AD7,"mmmm"))</f>
        <v/>
      </c>
      <c r="AE6" s="29"/>
      <c r="AF6" s="29"/>
      <c r="AG6" s="29"/>
      <c r="AH6" s="29"/>
      <c r="AI6" s="29"/>
      <c r="AJ6" s="29"/>
      <c r="AK6" s="29" t="str">
        <f ca="1">IF(OR(TEXT(AK7,"mmmm")=AD6,TEXT(AK7,"mmmm")=W6,TEXT(AK7,"mmmm")=P6,TEXT(AK7,"mmmm")=I6),"",TEXT(AK7,"mmmm"))</f>
        <v/>
      </c>
      <c r="AL6" s="29"/>
      <c r="AM6" s="29"/>
      <c r="AN6" s="29"/>
      <c r="AO6" s="29"/>
      <c r="AP6" s="29"/>
      <c r="AQ6" s="29"/>
      <c r="AR6" s="29" t="str">
        <f ca="1">IF(OR(TEXT(AR7,"mmmm")=AK6,TEXT(AR7,"mmmm")=AD6,TEXT(AR7,"mmmm")=W6,TEXT(AR7,"mmmm")=P6),"",TEXT(AR7,"mmmm"))</f>
        <v/>
      </c>
      <c r="AS6" s="29"/>
      <c r="AT6" s="29"/>
      <c r="AU6" s="29"/>
      <c r="AV6" s="29"/>
      <c r="AW6" s="29"/>
      <c r="AX6" s="29"/>
      <c r="AY6" s="29" t="str">
        <f ca="1">IF(OR(TEXT(AY7,"mmmm")=AR6,TEXT(AY7,"mmmm")=AK6,TEXT(AY7,"mmmm")=AD6,TEXT(AY7,"mmmm")=W6),"",TEXT(AY7,"mmmm"))</f>
        <v>April</v>
      </c>
      <c r="AZ6" s="29"/>
      <c r="BA6" s="29"/>
      <c r="BB6" s="30"/>
      <c r="BC6" s="31"/>
      <c r="BD6" s="31"/>
      <c r="BE6" s="31"/>
      <c r="BF6" s="31" t="str">
        <f ca="1">IF(OR(TEXT(BF7,"mmmm")=AY6,TEXT(BF7,"mmmm")=AR6,TEXT(BF7,"mmmm")=AK6,TEXT(BF7,"mmmm")=AD6),"",TEXT(BF7,"mmmm"))</f>
        <v/>
      </c>
      <c r="BG6" s="31"/>
      <c r="BH6" s="31"/>
      <c r="BI6" s="31"/>
      <c r="BJ6" s="31"/>
      <c r="BK6" s="31"/>
      <c r="BL6" s="31"/>
    </row>
    <row r="7" spans="1:68" ht="30" customHeight="1">
      <c r="A7" s="15"/>
      <c r="B7" s="26" t="s">
        <v>15</v>
      </c>
      <c r="C7" s="32">
        <v>1</v>
      </c>
      <c r="D7" s="23"/>
      <c r="F7" s="4"/>
      <c r="H7" s="33"/>
      <c r="I7" s="34" t="d">
        <f ca="1">IFERROR(Project_Start+Scrolling_Increment,TODAY())</f>
        <v>2026-02-23</v>
      </c>
      <c r="J7" s="35" t="d">
        <f t="shared" ref="J7:AO7" ca="1" si="0">I7+1</f>
        <v>2026-02-24</v>
      </c>
      <c r="K7" s="35" t="d">
        <f t="shared" ca="1" si="0"/>
        <v>2026-02-25</v>
      </c>
      <c r="L7" s="35" t="d">
        <f t="shared" ca="1" si="0"/>
        <v>2026-02-26</v>
      </c>
      <c r="M7" s="35" t="d">
        <f t="shared" ca="1" si="0"/>
        <v>2026-02-27</v>
      </c>
      <c r="N7" s="35" t="d">
        <f t="shared" ca="1" si="0"/>
        <v>2026-02-28</v>
      </c>
      <c r="O7" s="36" t="d">
        <f t="shared" ca="1" si="0"/>
        <v>2026-03-01</v>
      </c>
      <c r="P7" s="35" t="d">
        <f t="shared" ca="1" si="0"/>
        <v>2026-03-02</v>
      </c>
      <c r="Q7" s="35" t="d">
        <f t="shared" ca="1" si="0"/>
        <v>2026-03-03</v>
      </c>
      <c r="R7" s="35" t="d">
        <f t="shared" ca="1" si="0"/>
        <v>2026-03-04</v>
      </c>
      <c r="S7" s="35" t="d">
        <f t="shared" ca="1" si="0"/>
        <v>2026-03-05</v>
      </c>
      <c r="T7" s="35" t="d">
        <f t="shared" ca="1" si="0"/>
        <v>2026-03-06</v>
      </c>
      <c r="U7" s="35" t="d">
        <f t="shared" ca="1" si="0"/>
        <v>2026-03-07</v>
      </c>
      <c r="V7" s="36" t="d">
        <f t="shared" ca="1" si="0"/>
        <v>2026-03-08</v>
      </c>
      <c r="W7" s="35" t="d">
        <f t="shared" ca="1" si="0"/>
        <v>2026-03-09</v>
      </c>
      <c r="X7" s="35" t="d">
        <f t="shared" ca="1" si="0"/>
        <v>2026-03-10</v>
      </c>
      <c r="Y7" s="35" t="d">
        <f t="shared" ca="1" si="0"/>
        <v>2026-03-11</v>
      </c>
      <c r="Z7" s="35" t="d">
        <f t="shared" ca="1" si="0"/>
        <v>2026-03-12</v>
      </c>
      <c r="AA7" s="35" t="d">
        <f t="shared" ca="1" si="0"/>
        <v>2026-03-13</v>
      </c>
      <c r="AB7" s="35" t="d">
        <f t="shared" ca="1" si="0"/>
        <v>2026-03-14</v>
      </c>
      <c r="AC7" s="36" t="d">
        <f t="shared" ca="1" si="0"/>
        <v>2026-03-15</v>
      </c>
      <c r="AD7" s="35" t="d">
        <f t="shared" ca="1" si="0"/>
        <v>2026-03-16</v>
      </c>
      <c r="AE7" s="35" t="d">
        <f t="shared" ca="1" si="0"/>
        <v>2026-03-17</v>
      </c>
      <c r="AF7" s="35" t="d">
        <f t="shared" ca="1" si="0"/>
        <v>2026-03-18</v>
      </c>
      <c r="AG7" s="35" t="d">
        <f t="shared" ca="1" si="0"/>
        <v>2026-03-19</v>
      </c>
      <c r="AH7" s="35" t="d">
        <f t="shared" ca="1" si="0"/>
        <v>2026-03-20</v>
      </c>
      <c r="AI7" s="35" t="d">
        <f t="shared" ca="1" si="0"/>
        <v>2026-03-21</v>
      </c>
      <c r="AJ7" s="36" t="d">
        <f t="shared" ca="1" si="0"/>
        <v>2026-03-22</v>
      </c>
      <c r="AK7" s="35" t="d">
        <f t="shared" ca="1" si="0"/>
        <v>2026-03-23</v>
      </c>
      <c r="AL7" s="35" t="d">
        <f t="shared" ca="1" si="0"/>
        <v>2026-03-24</v>
      </c>
      <c r="AM7" s="35" t="d">
        <f t="shared" ca="1" si="0"/>
        <v>2026-03-25</v>
      </c>
      <c r="AN7" s="35" t="d">
        <f t="shared" ca="1" si="0"/>
        <v>2026-03-26</v>
      </c>
      <c r="AO7" s="35" t="d">
        <f t="shared" ca="1" si="0"/>
        <v>2026-03-27</v>
      </c>
      <c r="AP7" s="35" t="d">
        <f t="shared" ref="AP7:BL7" ca="1" si="1">AO7+1</f>
        <v>2026-03-28</v>
      </c>
      <c r="AQ7" s="36" t="d">
        <f t="shared" ca="1" si="1"/>
        <v>2026-03-29</v>
      </c>
      <c r="AR7" s="35" t="d">
        <f t="shared" ca="1" si="1"/>
        <v>2026-03-30</v>
      </c>
      <c r="AS7" s="35" t="d">
        <f t="shared" ca="1" si="1"/>
        <v>2026-03-31</v>
      </c>
      <c r="AT7" s="35" t="d">
        <f t="shared" ca="1" si="1"/>
        <v>2026-04-01</v>
      </c>
      <c r="AU7" s="35" t="d">
        <f t="shared" ca="1" si="1"/>
        <v>2026-04-02</v>
      </c>
      <c r="AV7" s="35" t="d">
        <f t="shared" ca="1" si="1"/>
        <v>2026-04-03</v>
      </c>
      <c r="AW7" s="35" t="d">
        <f t="shared" ca="1" si="1"/>
        <v>2026-04-04</v>
      </c>
      <c r="AX7" s="36" t="d">
        <f t="shared" ca="1" si="1"/>
        <v>2026-04-05</v>
      </c>
      <c r="AY7" s="35" t="d">
        <f t="shared" ca="1" si="1"/>
        <v>2026-04-06</v>
      </c>
      <c r="AZ7" s="35" t="d">
        <f t="shared" ca="1" si="1"/>
        <v>2026-04-07</v>
      </c>
      <c r="BA7" s="35" t="d">
        <f t="shared" ca="1" si="1"/>
        <v>2026-04-08</v>
      </c>
      <c r="BB7" s="35" t="d">
        <f t="shared" ca="1" si="1"/>
        <v>2026-04-09</v>
      </c>
      <c r="BC7" s="35" t="d">
        <f t="shared" ca="1" si="1"/>
        <v>2026-04-10</v>
      </c>
      <c r="BD7" s="35" t="d">
        <f t="shared" ca="1" si="1"/>
        <v>2026-04-11</v>
      </c>
      <c r="BE7" s="36" t="d">
        <f t="shared" ca="1" si="1"/>
        <v>2026-04-12</v>
      </c>
      <c r="BF7" s="35" t="d">
        <f t="shared" ca="1" si="1"/>
        <v>2026-04-13</v>
      </c>
      <c r="BG7" s="35" t="d">
        <f t="shared" ca="1" si="1"/>
        <v>2026-04-14</v>
      </c>
      <c r="BH7" s="35" t="d">
        <f t="shared" ca="1" si="1"/>
        <v>2026-04-15</v>
      </c>
      <c r="BI7" s="35" t="d">
        <f t="shared" ca="1" si="1"/>
        <v>2026-04-16</v>
      </c>
      <c r="BJ7" s="35" t="d">
        <f t="shared" ca="1" si="1"/>
        <v>2026-04-17</v>
      </c>
      <c r="BK7" s="35" t="d">
        <f t="shared" ca="1" si="1"/>
        <v>2026-04-18</v>
      </c>
      <c r="BL7" s="36" t="d">
        <f t="shared" ca="1" si="1"/>
        <v>2026-04-19</v>
      </c>
    </row>
    <row r="8" spans="1:68" ht="19.5" customHeight="1">
      <c r="A8" s="15"/>
      <c r="B8" s="23"/>
      <c r="C8" s="23"/>
      <c r="D8" s="23"/>
      <c r="F8" s="4"/>
      <c r="H8" s="33"/>
      <c r="I8" s="37"/>
      <c r="J8" s="38"/>
      <c r="K8" s="38"/>
      <c r="L8" s="38"/>
      <c r="M8" s="38"/>
      <c r="N8" s="38"/>
      <c r="O8" s="38"/>
      <c r="P8" s="39"/>
      <c r="Q8" s="38"/>
      <c r="R8" s="38"/>
      <c r="S8" s="38"/>
      <c r="T8" s="38"/>
      <c r="U8" s="38"/>
      <c r="V8" s="40"/>
      <c r="W8" s="38"/>
      <c r="X8" s="38"/>
      <c r="Y8" s="38"/>
      <c r="Z8" s="38"/>
      <c r="AA8" s="38"/>
      <c r="AB8" s="38"/>
      <c r="AC8" s="40"/>
      <c r="AD8" s="38"/>
      <c r="AE8" s="38"/>
      <c r="AF8" s="38"/>
      <c r="AG8" s="38"/>
      <c r="AH8" s="38"/>
      <c r="AI8" s="38"/>
      <c r="AJ8" s="40"/>
      <c r="AK8" s="38"/>
      <c r="AL8" s="38"/>
      <c r="AM8" s="38"/>
      <c r="AN8" s="38"/>
      <c r="AO8" s="38"/>
      <c r="AP8" s="38"/>
      <c r="AQ8" s="40"/>
      <c r="AR8" s="38"/>
      <c r="AS8" s="38"/>
      <c r="AT8" s="38"/>
      <c r="AU8" s="38"/>
      <c r="AV8" s="38"/>
      <c r="AW8" s="38"/>
      <c r="AX8" s="40"/>
      <c r="AY8" s="38"/>
      <c r="AZ8" s="38"/>
      <c r="BA8" s="38"/>
      <c r="BB8" s="38"/>
      <c r="BC8" s="38"/>
      <c r="BD8" s="38"/>
      <c r="BE8" s="40"/>
      <c r="BF8" s="38"/>
      <c r="BG8" s="38"/>
      <c r="BH8" s="38"/>
      <c r="BI8" s="38"/>
      <c r="BJ8" s="38"/>
      <c r="BK8" s="38"/>
      <c r="BL8" s="41"/>
    </row>
    <row r="9" spans="1:68" ht="39.75" customHeight="1">
      <c r="A9" s="15"/>
      <c r="B9" s="42" t="s">
        <v>16</v>
      </c>
      <c r="C9" s="43" t="s">
        <v>17</v>
      </c>
      <c r="D9" s="43" t="s">
        <v>18</v>
      </c>
      <c r="E9" s="43" t="s">
        <v>19</v>
      </c>
      <c r="F9" s="43" t="s">
        <v>20</v>
      </c>
      <c r="G9" s="43" t="s">
        <v>21</v>
      </c>
      <c r="H9" s="44"/>
      <c r="I9" s="45" t="str">
        <f t="shared" ref="I9:AN9" ca="1" si="2">LEFT(TEXT(I7,"ddd"),1)</f>
        <v>M</v>
      </c>
      <c r="J9" s="45" t="str">
        <f t="shared" ca="1" si="2"/>
        <v>T</v>
      </c>
      <c r="K9" s="45" t="str">
        <f t="shared" ca="1" si="2"/>
        <v>W</v>
      </c>
      <c r="L9" s="45" t="str">
        <f t="shared" ca="1" si="2"/>
        <v>T</v>
      </c>
      <c r="M9" s="45" t="str">
        <f t="shared" ca="1" si="2"/>
        <v>F</v>
      </c>
      <c r="N9" s="45" t="str">
        <f t="shared" ca="1" si="2"/>
        <v>S</v>
      </c>
      <c r="O9" s="45" t="str">
        <f t="shared" ca="1" si="2"/>
        <v>S</v>
      </c>
      <c r="P9" s="45" t="str">
        <f t="shared" ca="1" si="2"/>
        <v>M</v>
      </c>
      <c r="Q9" s="45" t="str">
        <f t="shared" ca="1" si="2"/>
        <v>T</v>
      </c>
      <c r="R9" s="45" t="str">
        <f t="shared" ca="1" si="2"/>
        <v>W</v>
      </c>
      <c r="S9" s="45" t="str">
        <f t="shared" ca="1" si="2"/>
        <v>T</v>
      </c>
      <c r="T9" s="45" t="str">
        <f t="shared" ca="1" si="2"/>
        <v>F</v>
      </c>
      <c r="U9" s="45" t="str">
        <f t="shared" ca="1" si="2"/>
        <v>S</v>
      </c>
      <c r="V9" s="45" t="str">
        <f t="shared" ca="1" si="2"/>
        <v>S</v>
      </c>
      <c r="W9" s="45" t="str">
        <f t="shared" ca="1" si="2"/>
        <v>M</v>
      </c>
      <c r="X9" s="45" t="str">
        <f t="shared" ca="1" si="2"/>
        <v>T</v>
      </c>
      <c r="Y9" s="45" t="str">
        <f t="shared" ca="1" si="2"/>
        <v>W</v>
      </c>
      <c r="Z9" s="45" t="str">
        <f t="shared" ca="1" si="2"/>
        <v>T</v>
      </c>
      <c r="AA9" s="45" t="str">
        <f t="shared" ca="1" si="2"/>
        <v>F</v>
      </c>
      <c r="AB9" s="45" t="str">
        <f t="shared" ca="1" si="2"/>
        <v>S</v>
      </c>
      <c r="AC9" s="45" t="str">
        <f t="shared" ca="1" si="2"/>
        <v>S</v>
      </c>
      <c r="AD9" s="45" t="str">
        <f t="shared" ca="1" si="2"/>
        <v>M</v>
      </c>
      <c r="AE9" s="45" t="str">
        <f t="shared" ca="1" si="2"/>
        <v>T</v>
      </c>
      <c r="AF9" s="45" t="str">
        <f t="shared" ca="1" si="2"/>
        <v>W</v>
      </c>
      <c r="AG9" s="45" t="str">
        <f t="shared" ca="1" si="2"/>
        <v>T</v>
      </c>
      <c r="AH9" s="45" t="str">
        <f t="shared" ca="1" si="2"/>
        <v>F</v>
      </c>
      <c r="AI9" s="45" t="str">
        <f t="shared" ca="1" si="2"/>
        <v>S</v>
      </c>
      <c r="AJ9" s="45" t="str">
        <f t="shared" ca="1" si="2"/>
        <v>S</v>
      </c>
      <c r="AK9" s="45" t="str">
        <f t="shared" ca="1" si="2"/>
        <v>M</v>
      </c>
      <c r="AL9" s="45" t="str">
        <f t="shared" ca="1" si="2"/>
        <v>T</v>
      </c>
      <c r="AM9" s="45" t="str">
        <f t="shared" ca="1" si="2"/>
        <v>W</v>
      </c>
      <c r="AN9" s="45" t="str">
        <f t="shared" ca="1" si="2"/>
        <v>T</v>
      </c>
      <c r="AO9" s="45" t="str">
        <f t="shared" ref="AO9:BL9" ca="1" si="3">LEFT(TEXT(AO7,"ddd"),1)</f>
        <v>F</v>
      </c>
      <c r="AP9" s="45" t="str">
        <f t="shared" ca="1" si="3"/>
        <v>S</v>
      </c>
      <c r="AQ9" s="45" t="str">
        <f t="shared" ca="1" si="3"/>
        <v>S</v>
      </c>
      <c r="AR9" s="45" t="str">
        <f t="shared" ca="1" si="3"/>
        <v>M</v>
      </c>
      <c r="AS9" s="45" t="str">
        <f t="shared" ca="1" si="3"/>
        <v>T</v>
      </c>
      <c r="AT9" s="45" t="str">
        <f t="shared" ca="1" si="3"/>
        <v>W</v>
      </c>
      <c r="AU9" s="45" t="str">
        <f t="shared" ca="1" si="3"/>
        <v>T</v>
      </c>
      <c r="AV9" s="45" t="str">
        <f t="shared" ca="1" si="3"/>
        <v>F</v>
      </c>
      <c r="AW9" s="45" t="str">
        <f t="shared" ca="1" si="3"/>
        <v>S</v>
      </c>
      <c r="AX9" s="45" t="str">
        <f t="shared" ca="1" si="3"/>
        <v>S</v>
      </c>
      <c r="AY9" s="45" t="str">
        <f t="shared" ca="1" si="3"/>
        <v>M</v>
      </c>
      <c r="AZ9" s="45" t="str">
        <f t="shared" ca="1" si="3"/>
        <v>T</v>
      </c>
      <c r="BA9" s="45" t="str">
        <f t="shared" ca="1" si="3"/>
        <v>W</v>
      </c>
      <c r="BB9" s="45" t="str">
        <f t="shared" ca="1" si="3"/>
        <v>T</v>
      </c>
      <c r="BC9" s="45" t="str">
        <f t="shared" ca="1" si="3"/>
        <v>F</v>
      </c>
      <c r="BD9" s="45" t="str">
        <f t="shared" ca="1" si="3"/>
        <v>S</v>
      </c>
      <c r="BE9" s="45" t="str">
        <f t="shared" ca="1" si="3"/>
        <v>S</v>
      </c>
      <c r="BF9" s="45" t="str">
        <f t="shared" ca="1" si="3"/>
        <v>M</v>
      </c>
      <c r="BG9" s="45" t="str">
        <f t="shared" ca="1" si="3"/>
        <v>T</v>
      </c>
      <c r="BH9" s="45" t="str">
        <f t="shared" ca="1" si="3"/>
        <v>W</v>
      </c>
      <c r="BI9" s="45" t="str">
        <f t="shared" ca="1" si="3"/>
        <v>T</v>
      </c>
      <c r="BJ9" s="45" t="str">
        <f t="shared" ca="1" si="3"/>
        <v>F</v>
      </c>
      <c r="BK9" s="45" t="str">
        <f t="shared" ca="1" si="3"/>
        <v>S</v>
      </c>
      <c r="BL9" s="45" t="str">
        <f t="shared" ca="1" si="3"/>
        <v>S</v>
      </c>
    </row>
    <row r="10" spans="1:68" ht="30" hidden="1" customHeight="1">
      <c r="B10" s="46"/>
      <c r="C10" s="47"/>
      <c r="D10" s="48"/>
      <c r="E10" s="47"/>
      <c r="F10" s="49"/>
      <c r="G10" s="50"/>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8" s="18" customFormat="1" ht="39.75" customHeight="1">
      <c r="A11" s="15"/>
      <c r="B11" s="52" t="s">
        <v>22</v>
      </c>
      <c r="C11" s="53"/>
      <c r="D11" s="53"/>
      <c r="E11" s="54"/>
      <c r="F11" s="49"/>
      <c r="G11" s="50"/>
      <c r="H11" s="53"/>
      <c r="I11" s="55" t="str">
        <f t="shared" ref="I11:AN11" ca="1" si="4">IF(AND($C11="Goal",I$7&gt;=$F11,I$7&lt;=$F11+$G11-1),2,IF(AND($C11="Milestone",I$7&gt;=$F11,I$7&lt;=$F11+$G11-1),1,""))</f>
        <v/>
      </c>
      <c r="J11" s="55" t="str">
        <f t="shared" ca="1" si="4"/>
        <v/>
      </c>
      <c r="K11" s="55" t="str">
        <f t="shared" ca="1" si="4"/>
        <v/>
      </c>
      <c r="L11" s="55" t="str">
        <f t="shared" ca="1" si="4"/>
        <v/>
      </c>
      <c r="M11" s="55" t="str">
        <f t="shared" ca="1" si="4"/>
        <v/>
      </c>
      <c r="N11" s="55" t="str">
        <f t="shared" ca="1" si="4"/>
        <v/>
      </c>
      <c r="O11" s="55" t="str">
        <f t="shared" ca="1" si="4"/>
        <v/>
      </c>
      <c r="P11" s="55" t="str">
        <f t="shared" ca="1" si="4"/>
        <v/>
      </c>
      <c r="Q11" s="55" t="str">
        <f t="shared" ca="1" si="4"/>
        <v/>
      </c>
      <c r="R11" s="55" t="str">
        <f t="shared" ca="1" si="4"/>
        <v/>
      </c>
      <c r="S11" s="55" t="str">
        <f t="shared" ca="1" si="4"/>
        <v/>
      </c>
      <c r="T11" s="55" t="str">
        <f t="shared" ca="1" si="4"/>
        <v/>
      </c>
      <c r="U11" s="55" t="str">
        <f t="shared" ca="1" si="4"/>
        <v/>
      </c>
      <c r="V11" s="55" t="str">
        <f t="shared" ca="1" si="4"/>
        <v/>
      </c>
      <c r="W11" s="55" t="str">
        <f t="shared" ca="1" si="4"/>
        <v/>
      </c>
      <c r="X11" s="55" t="str">
        <f t="shared" ca="1" si="4"/>
        <v/>
      </c>
      <c r="Y11" s="55" t="str">
        <f t="shared" ca="1" si="4"/>
        <v/>
      </c>
      <c r="Z11" s="55" t="str">
        <f t="shared" ca="1" si="4"/>
        <v/>
      </c>
      <c r="AA11" s="55" t="str">
        <f t="shared" ca="1" si="4"/>
        <v/>
      </c>
      <c r="AB11" s="55" t="str">
        <f t="shared" ca="1" si="4"/>
        <v/>
      </c>
      <c r="AC11" s="55" t="str">
        <f t="shared" ca="1" si="4"/>
        <v/>
      </c>
      <c r="AD11" s="55" t="str">
        <f t="shared" ca="1" si="4"/>
        <v/>
      </c>
      <c r="AE11" s="55" t="str">
        <f t="shared" ca="1" si="4"/>
        <v/>
      </c>
      <c r="AF11" s="55" t="str">
        <f t="shared" ca="1" si="4"/>
        <v/>
      </c>
      <c r="AG11" s="55" t="str">
        <f t="shared" ca="1" si="4"/>
        <v/>
      </c>
      <c r="AH11" s="55" t="str">
        <f t="shared" ca="1" si="4"/>
        <v/>
      </c>
      <c r="AI11" s="55" t="str">
        <f t="shared" ca="1" si="4"/>
        <v/>
      </c>
      <c r="AJ11" s="55" t="str">
        <f t="shared" ca="1" si="4"/>
        <v/>
      </c>
      <c r="AK11" s="55" t="str">
        <f t="shared" ca="1" si="4"/>
        <v/>
      </c>
      <c r="AL11" s="55" t="str">
        <f t="shared" ca="1" si="4"/>
        <v/>
      </c>
      <c r="AM11" s="55" t="str">
        <f t="shared" ca="1" si="4"/>
        <v/>
      </c>
      <c r="AN11" s="55" t="str">
        <f t="shared" ca="1" si="4"/>
        <v/>
      </c>
      <c r="AO11" s="55" t="str">
        <f t="shared" ref="AO11:BL11" ca="1" si="5">IF(AND($C11="Goal",AO$7&gt;=$F11,AO$7&lt;=$F11+$G11-1),2,IF(AND($C11="Milestone",AO$7&gt;=$F11,AO$7&lt;=$F11+$G11-1),1,""))</f>
        <v/>
      </c>
      <c r="AP11" s="55" t="str">
        <f t="shared" ca="1" si="5"/>
        <v/>
      </c>
      <c r="AQ11" s="55" t="str">
        <f t="shared" ca="1" si="5"/>
        <v/>
      </c>
      <c r="AR11" s="55" t="str">
        <f t="shared" ca="1" si="5"/>
        <v/>
      </c>
      <c r="AS11" s="55" t="str">
        <f t="shared" ca="1" si="5"/>
        <v/>
      </c>
      <c r="AT11" s="55" t="str">
        <f t="shared" ca="1" si="5"/>
        <v/>
      </c>
      <c r="AU11" s="55" t="str">
        <f t="shared" ca="1" si="5"/>
        <v/>
      </c>
      <c r="AV11" s="55" t="str">
        <f t="shared" ca="1" si="5"/>
        <v/>
      </c>
      <c r="AW11" s="55" t="str">
        <f t="shared" ca="1" si="5"/>
        <v/>
      </c>
      <c r="AX11" s="55" t="str">
        <f t="shared" ca="1" si="5"/>
        <v/>
      </c>
      <c r="AY11" s="55" t="str">
        <f t="shared" ca="1" si="5"/>
        <v/>
      </c>
      <c r="AZ11" s="55" t="str">
        <f t="shared" ca="1" si="5"/>
        <v/>
      </c>
      <c r="BA11" s="55" t="str">
        <f t="shared" ca="1" si="5"/>
        <v/>
      </c>
      <c r="BB11" s="55" t="str">
        <f t="shared" ca="1" si="5"/>
        <v/>
      </c>
      <c r="BC11" s="55" t="str">
        <f t="shared" ca="1" si="5"/>
        <v/>
      </c>
      <c r="BD11" s="55" t="str">
        <f t="shared" ca="1" si="5"/>
        <v/>
      </c>
      <c r="BE11" s="55" t="str">
        <f t="shared" ca="1" si="5"/>
        <v/>
      </c>
      <c r="BF11" s="55" t="str">
        <f t="shared" ca="1" si="5"/>
        <v/>
      </c>
      <c r="BG11" s="55" t="str">
        <f t="shared" ca="1" si="5"/>
        <v/>
      </c>
      <c r="BH11" s="55" t="str">
        <f t="shared" ca="1" si="5"/>
        <v/>
      </c>
      <c r="BI11" s="55" t="str">
        <f t="shared" ca="1" si="5"/>
        <v/>
      </c>
      <c r="BJ11" s="55" t="str">
        <f t="shared" ca="1" si="5"/>
        <v/>
      </c>
      <c r="BK11" s="55" t="str">
        <f t="shared" ca="1" si="5"/>
        <v/>
      </c>
      <c r="BL11" s="55" t="str">
        <f t="shared" ca="1" si="5"/>
        <v/>
      </c>
      <c r="BP11" s="56"/>
    </row>
    <row r="12" spans="1:68" s="18" customFormat="1" ht="39.75" customHeight="1">
      <c r="A12" s="15"/>
      <c r="B12" s="57" t="s">
        <v>23</v>
      </c>
      <c r="C12" s="53" t="s">
        <v>8</v>
      </c>
      <c r="D12" s="53" t="s">
        <v>24</v>
      </c>
      <c r="E12" s="54">
        <v>0.25</v>
      </c>
      <c r="F12" s="49" t="d">
        <f ca="1">TODAY( ) + 1</f>
        <v>2026-04-30</v>
      </c>
      <c r="G12" s="50">
        <v>3</v>
      </c>
      <c r="H12" s="53"/>
      <c r="I12" s="58" t="str">
        <f ca="1">IF(AND($C12="Goal",I$7&gt;=$F12,I$7&lt;=$F12+$G12-1),2,IF(AN2,1,""))</f>
        <v/>
      </c>
      <c r="J12" s="58" t="str">
        <f t="shared" ref="J12:S13" ca="1" si="6">IF(AND($C12="Goal",J$7&gt;=$F12,J$7&lt;=$F12+$G12-1),2,IF(AND($C12="Milestone",J$7&gt;=$F12,J$7&lt;=$F12+$G12-1),1,""))</f>
        <v/>
      </c>
      <c r="K12" s="58" t="str">
        <f t="shared" ca="1" si="6"/>
        <v/>
      </c>
      <c r="L12" s="55" t="str">
        <f t="shared" ca="1" si="6"/>
        <v/>
      </c>
      <c r="M12" s="55" t="str">
        <f t="shared" ca="1" si="6"/>
        <v/>
      </c>
      <c r="N12" s="55" t="str">
        <f t="shared" ca="1" si="6"/>
        <v/>
      </c>
      <c r="O12" s="55" t="str">
        <f t="shared" ca="1" si="6"/>
        <v/>
      </c>
      <c r="P12" s="55" t="str">
        <f t="shared" ca="1" si="6"/>
        <v/>
      </c>
      <c r="Q12" s="55" t="str">
        <f t="shared" ca="1" si="6"/>
        <v/>
      </c>
      <c r="R12" s="55" t="str">
        <f t="shared" ca="1" si="6"/>
        <v/>
      </c>
      <c r="S12" s="55" t="str">
        <f t="shared" ca="1" si="6"/>
        <v/>
      </c>
      <c r="T12" s="55" t="str">
        <f t="shared" ref="T12:AC13" ca="1" si="7">IF(AND($C12="Goal",T$7&gt;=$F12,T$7&lt;=$F12+$G12-1),2,IF(AND($C12="Milestone",T$7&gt;=$F12,T$7&lt;=$F12+$G12-1),1,""))</f>
        <v/>
      </c>
      <c r="U12" s="55" t="str">
        <f t="shared" ca="1" si="7"/>
        <v/>
      </c>
      <c r="V12" s="55" t="str">
        <f t="shared" ca="1" si="7"/>
        <v/>
      </c>
      <c r="W12" s="55" t="str">
        <f t="shared" ca="1" si="7"/>
        <v/>
      </c>
      <c r="X12" s="55" t="str">
        <f t="shared" ca="1" si="7"/>
        <v/>
      </c>
      <c r="Y12" s="55" t="str">
        <f t="shared" ca="1" si="7"/>
        <v/>
      </c>
      <c r="Z12" s="55" t="str">
        <f t="shared" ca="1" si="7"/>
        <v/>
      </c>
      <c r="AA12" s="55" t="str">
        <f t="shared" ca="1" si="7"/>
        <v/>
      </c>
      <c r="AB12" s="55" t="str">
        <f t="shared" ca="1" si="7"/>
        <v/>
      </c>
      <c r="AC12" s="55" t="str">
        <f t="shared" ca="1" si="7"/>
        <v/>
      </c>
      <c r="AD12" s="55" t="str">
        <f t="shared" ref="AD12:AM13" ca="1" si="8">IF(AND($C12="Goal",AD$7&gt;=$F12,AD$7&lt;=$F12+$G12-1),2,IF(AND($C12="Milestone",AD$7&gt;=$F12,AD$7&lt;=$F12+$G12-1),1,""))</f>
        <v/>
      </c>
      <c r="AE12" s="55" t="str">
        <f t="shared" ca="1" si="8"/>
        <v/>
      </c>
      <c r="AF12" s="55" t="str">
        <f t="shared" ca="1" si="8"/>
        <v/>
      </c>
      <c r="AG12" s="55" t="str">
        <f t="shared" ca="1" si="8"/>
        <v/>
      </c>
      <c r="AH12" s="55" t="str">
        <f t="shared" ca="1" si="8"/>
        <v/>
      </c>
      <c r="AI12" s="55" t="str">
        <f t="shared" ca="1" si="8"/>
        <v/>
      </c>
      <c r="AJ12" s="55" t="str">
        <f t="shared" ca="1" si="8"/>
        <v/>
      </c>
      <c r="AK12" s="55" t="str">
        <f t="shared" ca="1" si="8"/>
        <v/>
      </c>
      <c r="AL12" s="55" t="str">
        <f t="shared" ca="1" si="8"/>
        <v/>
      </c>
      <c r="AM12" s="55" t="str">
        <f t="shared" ca="1" si="8"/>
        <v/>
      </c>
      <c r="AN12" s="55" t="str">
        <f t="shared" ref="AN12:AW13" ca="1" si="9">IF(AND($C12="Goal",AN$7&gt;=$F12,AN$7&lt;=$F12+$G12-1),2,IF(AND($C12="Milestone",AN$7&gt;=$F12,AN$7&lt;=$F12+$G12-1),1,""))</f>
        <v/>
      </c>
      <c r="AO12" s="55" t="str">
        <f t="shared" ca="1" si="9"/>
        <v/>
      </c>
      <c r="AP12" s="55" t="str">
        <f t="shared" ca="1" si="9"/>
        <v/>
      </c>
      <c r="AQ12" s="55" t="str">
        <f t="shared" ca="1" si="9"/>
        <v/>
      </c>
      <c r="AR12" s="55" t="str">
        <f t="shared" ca="1" si="9"/>
        <v/>
      </c>
      <c r="AS12" s="55" t="str">
        <f t="shared" ca="1" si="9"/>
        <v/>
      </c>
      <c r="AT12" s="55" t="str">
        <f t="shared" ca="1" si="9"/>
        <v/>
      </c>
      <c r="AU12" s="55" t="str">
        <f t="shared" ca="1" si="9"/>
        <v/>
      </c>
      <c r="AV12" s="55" t="str">
        <f t="shared" ca="1" si="9"/>
        <v/>
      </c>
      <c r="AW12" s="55" t="str">
        <f t="shared" ca="1" si="9"/>
        <v/>
      </c>
      <c r="AX12" s="55" t="str">
        <f t="shared" ref="AX12:BL13" ca="1" si="10">IF(AND($C12="Goal",AX$7&gt;=$F12,AX$7&lt;=$F12+$G12-1),2,IF(AND($C12="Milestone",AX$7&gt;=$F12,AX$7&lt;=$F12+$G12-1),1,""))</f>
        <v/>
      </c>
      <c r="AY12" s="55" t="str">
        <f t="shared" ca="1" si="10"/>
        <v/>
      </c>
      <c r="AZ12" s="55" t="str">
        <f t="shared" ca="1" si="10"/>
        <v/>
      </c>
      <c r="BA12" s="55" t="str">
        <f t="shared" ca="1" si="10"/>
        <v/>
      </c>
      <c r="BB12" s="55" t="str">
        <f t="shared" ca="1" si="10"/>
        <v/>
      </c>
      <c r="BC12" s="55" t="str">
        <f t="shared" ca="1" si="10"/>
        <v/>
      </c>
      <c r="BD12" s="55" t="str">
        <f t="shared" ca="1" si="10"/>
        <v/>
      </c>
      <c r="BE12" s="55" t="str">
        <f t="shared" ca="1" si="10"/>
        <v/>
      </c>
      <c r="BF12" s="55" t="str">
        <f t="shared" ca="1" si="10"/>
        <v/>
      </c>
      <c r="BG12" s="55" t="str">
        <f t="shared" ca="1" si="10"/>
        <v/>
      </c>
      <c r="BH12" s="55" t="str">
        <f t="shared" ca="1" si="10"/>
        <v/>
      </c>
      <c r="BI12" s="55" t="str">
        <f t="shared" ca="1" si="10"/>
        <v/>
      </c>
      <c r="BJ12" s="55" t="str">
        <f t="shared" ca="1" si="10"/>
        <v/>
      </c>
      <c r="BK12" s="55" t="str">
        <f t="shared" ca="1" si="10"/>
        <v/>
      </c>
      <c r="BL12" s="55" t="str">
        <f t="shared" ca="1" si="10"/>
        <v/>
      </c>
    </row>
    <row r="13" spans="1:68" s="18" customFormat="1" ht="39.75" customHeight="1">
      <c r="A13" s="15"/>
      <c r="B13" s="59" t="s">
        <v>25</v>
      </c>
      <c r="C13" s="53" t="s">
        <v>10</v>
      </c>
      <c r="D13" s="53" t="s">
        <v>24</v>
      </c>
      <c r="E13" s="54"/>
      <c r="F13" s="49" t="d">
        <f>DATE(2026,2,28)</f>
        <v>2026-02-28</v>
      </c>
      <c r="G13" s="50">
        <v>5</v>
      </c>
      <c r="H13" s="53"/>
      <c r="I13" s="55" t="str">
        <f t="shared" ref="I13:I19" ca="1" si="11">IF(AND($C13="Goal",I$7&gt;=$F13,I$7&lt;=$F13+$G13-1),2,IF(AND($C13="Milestone",I$7&gt;=$F13,I$7&lt;=$F13+$G13-1),1,""))</f>
        <v/>
      </c>
      <c r="J13" s="55" t="str">
        <f t="shared" ca="1" si="6"/>
        <v/>
      </c>
      <c r="K13" s="55" t="str">
        <f t="shared" ca="1" si="6"/>
        <v/>
      </c>
      <c r="L13" s="55" t="str">
        <f t="shared" ca="1" si="6"/>
        <v/>
      </c>
      <c r="M13" s="55" t="str">
        <f t="shared" ca="1" si="6"/>
        <v/>
      </c>
      <c r="N13" s="60" t="str">
        <f t="shared" ca="1" si="6"/>
        <v/>
      </c>
      <c r="O13" s="60" t="str">
        <f t="shared" ca="1" si="6"/>
        <v/>
      </c>
      <c r="P13" s="60" t="str">
        <f t="shared" ca="1" si="6"/>
        <v/>
      </c>
      <c r="Q13" s="60" t="str">
        <f t="shared" ca="1" si="6"/>
        <v/>
      </c>
      <c r="R13" s="60" t="str">
        <f t="shared" ca="1" si="6"/>
        <v/>
      </c>
      <c r="S13" s="55" t="str">
        <f t="shared" ca="1" si="6"/>
        <v/>
      </c>
      <c r="T13" s="55" t="str">
        <f t="shared" ca="1" si="7"/>
        <v/>
      </c>
      <c r="U13" s="55" t="str">
        <f t="shared" ca="1" si="7"/>
        <v/>
      </c>
      <c r="V13" s="55" t="str">
        <f t="shared" ca="1" si="7"/>
        <v/>
      </c>
      <c r="W13" s="55" t="str">
        <f t="shared" ca="1" si="7"/>
        <v/>
      </c>
      <c r="X13" s="55" t="str">
        <f t="shared" ca="1" si="7"/>
        <v/>
      </c>
      <c r="Y13" s="55" t="str">
        <f t="shared" ca="1" si="7"/>
        <v/>
      </c>
      <c r="Z13" s="55" t="str">
        <f t="shared" ca="1" si="7"/>
        <v/>
      </c>
      <c r="AA13" s="55" t="str">
        <f t="shared" ca="1" si="7"/>
        <v/>
      </c>
      <c r="AB13" s="55" t="str">
        <f t="shared" ca="1" si="7"/>
        <v/>
      </c>
      <c r="AC13" s="55" t="str">
        <f t="shared" ca="1" si="7"/>
        <v/>
      </c>
      <c r="AD13" s="55" t="str">
        <f t="shared" ca="1" si="8"/>
        <v/>
      </c>
      <c r="AE13" s="55" t="str">
        <f t="shared" ca="1" si="8"/>
        <v/>
      </c>
      <c r="AF13" s="55" t="str">
        <f t="shared" ca="1" si="8"/>
        <v/>
      </c>
      <c r="AG13" s="55" t="str">
        <f t="shared" ca="1" si="8"/>
        <v/>
      </c>
      <c r="AH13" s="55" t="str">
        <f t="shared" ca="1" si="8"/>
        <v/>
      </c>
      <c r="AI13" s="55" t="str">
        <f t="shared" ca="1" si="8"/>
        <v/>
      </c>
      <c r="AJ13" s="55" t="str">
        <f t="shared" ca="1" si="8"/>
        <v/>
      </c>
      <c r="AK13" s="55" t="str">
        <f t="shared" ca="1" si="8"/>
        <v/>
      </c>
      <c r="AL13" s="55" t="str">
        <f t="shared" ca="1" si="8"/>
        <v/>
      </c>
      <c r="AM13" s="55" t="str">
        <f t="shared" ca="1" si="8"/>
        <v/>
      </c>
      <c r="AN13" s="55" t="str">
        <f t="shared" ca="1" si="9"/>
        <v/>
      </c>
      <c r="AO13" s="55" t="str">
        <f t="shared" ca="1" si="9"/>
        <v/>
      </c>
      <c r="AP13" s="55" t="str">
        <f t="shared" ca="1" si="9"/>
        <v/>
      </c>
      <c r="AQ13" s="55" t="str">
        <f t="shared" ca="1" si="9"/>
        <v/>
      </c>
      <c r="AR13" s="55" t="str">
        <f t="shared" ca="1" si="9"/>
        <v/>
      </c>
      <c r="AS13" s="55" t="str">
        <f t="shared" ca="1" si="9"/>
        <v/>
      </c>
      <c r="AT13" s="55" t="str">
        <f t="shared" ca="1" si="9"/>
        <v/>
      </c>
      <c r="AU13" s="55" t="str">
        <f t="shared" ca="1" si="9"/>
        <v/>
      </c>
      <c r="AV13" s="55" t="str">
        <f t="shared" ca="1" si="9"/>
        <v/>
      </c>
      <c r="AW13" s="55" t="str">
        <f t="shared" ca="1" si="9"/>
        <v/>
      </c>
      <c r="AX13" s="55" t="str">
        <f t="shared" ca="1" si="10"/>
        <v/>
      </c>
      <c r="AY13" s="55" t="str">
        <f t="shared" ca="1" si="10"/>
        <v/>
      </c>
      <c r="AZ13" s="55" t="str">
        <f t="shared" ca="1" si="10"/>
        <v/>
      </c>
      <c r="BA13" s="55" t="str">
        <f t="shared" ca="1" si="10"/>
        <v/>
      </c>
      <c r="BB13" s="55" t="str">
        <f t="shared" ca="1" si="10"/>
        <v/>
      </c>
      <c r="BC13" s="55" t="str">
        <f t="shared" ca="1" si="10"/>
        <v/>
      </c>
      <c r="BD13" s="55" t="str">
        <f t="shared" ca="1" si="10"/>
        <v/>
      </c>
      <c r="BE13" s="55" t="str">
        <f t="shared" ca="1" si="10"/>
        <v/>
      </c>
      <c r="BF13" s="55" t="str">
        <f t="shared" ca="1" si="10"/>
        <v/>
      </c>
      <c r="BG13" s="55" t="str">
        <f t="shared" ca="1" si="10"/>
        <v/>
      </c>
      <c r="BH13" s="55" t="str">
        <f t="shared" ca="1" si="10"/>
        <v/>
      </c>
      <c r="BI13" s="55" t="str">
        <f t="shared" ca="1" si="10"/>
        <v/>
      </c>
      <c r="BJ13" s="55" t="str">
        <f t="shared" ca="1" si="10"/>
        <v/>
      </c>
      <c r="BK13" s="55" t="str">
        <f t="shared" ca="1" si="10"/>
        <v/>
      </c>
      <c r="BL13" s="55" t="str">
        <f t="shared" ca="1" si="10"/>
        <v/>
      </c>
    </row>
    <row r="14" spans="1:68" s="18" customFormat="1" ht="39.75" customHeight="1">
      <c r="A14" s="13"/>
      <c r="B14" s="61" t="s">
        <v>26</v>
      </c>
      <c r="C14" s="53" t="s">
        <v>8</v>
      </c>
      <c r="D14" s="53" t="s">
        <v>13</v>
      </c>
      <c r="E14" s="54">
        <v>0.5</v>
      </c>
      <c r="F14" s="49" t="d">
        <f>DATE(2026,3,7)</f>
        <v>2026-03-07</v>
      </c>
      <c r="G14" s="50">
        <v>1</v>
      </c>
      <c r="H14" s="53"/>
      <c r="I14" s="55" t="str">
        <f t="shared" ca="1" si="11"/>
        <v/>
      </c>
      <c r="J14" s="55" t="str">
        <f t="shared" ref="J14:R22" ca="1" si="12">IF(AND($C14="Goal",J$7&gt;=$F14,J$7&lt;=$F14+$G14-1),2,IF(AND($C14="Milestone",J$7&gt;=$F14,J$7&lt;=$F14+$G14-1),1,""))</f>
        <v/>
      </c>
      <c r="K14" s="55" t="str">
        <f t="shared" ca="1" si="12"/>
        <v/>
      </c>
      <c r="L14" s="55" t="str">
        <f t="shared" ca="1" si="12"/>
        <v/>
      </c>
      <c r="M14" s="55" t="str">
        <f t="shared" ca="1" si="12"/>
        <v/>
      </c>
      <c r="N14" s="55" t="str">
        <f t="shared" ca="1" si="12"/>
        <v/>
      </c>
      <c r="O14" s="55" t="str">
        <f t="shared" ca="1" si="12"/>
        <v/>
      </c>
      <c r="P14" s="55" t="str">
        <f t="shared" ca="1" si="12"/>
        <v/>
      </c>
      <c r="Q14" s="55" t="str">
        <f t="shared" ca="1" si="12"/>
        <v/>
      </c>
      <c r="R14" s="55" t="str">
        <f t="shared" ca="1" si="12"/>
        <v/>
      </c>
      <c r="S14" s="62"/>
      <c r="T14" s="55" t="str">
        <f t="shared" ref="T14:U22" ca="1" si="13">IF(AND($C14="Goal",T$7&gt;=$F14,T$7&lt;=$F14+$G14-1),2,IF(AND($C14="Milestone",T$7&gt;=$F14,T$7&lt;=$F14+$G14-1),1,""))</f>
        <v/>
      </c>
      <c r="U14" s="63" t="str">
        <f t="shared" ca="1" si="13"/>
        <v/>
      </c>
      <c r="V14" s="55"/>
      <c r="W14" s="55"/>
      <c r="X14" s="55" t="str">
        <f t="shared" ref="X14:AG15" ca="1" si="14">IF(AND($C14="Goal",X$7&gt;=$F14,X$7&lt;=$F14+$G14-1),2,IF(AND($C14="Milestone",X$7&gt;=$F14,X$7&lt;=$F14+$G14-1),1,""))</f>
        <v/>
      </c>
      <c r="Y14" s="55" t="str">
        <f t="shared" ca="1" si="14"/>
        <v/>
      </c>
      <c r="Z14" s="55" t="str">
        <f t="shared" ca="1" si="14"/>
        <v/>
      </c>
      <c r="AA14" s="55" t="str">
        <f t="shared" ca="1" si="14"/>
        <v/>
      </c>
      <c r="AB14" s="55" t="str">
        <f t="shared" ca="1" si="14"/>
        <v/>
      </c>
      <c r="AC14" s="55" t="str">
        <f t="shared" ca="1" si="14"/>
        <v/>
      </c>
      <c r="AD14" s="55" t="str">
        <f t="shared" ca="1" si="14"/>
        <v/>
      </c>
      <c r="AE14" s="55" t="str">
        <f t="shared" ca="1" si="14"/>
        <v/>
      </c>
      <c r="AF14" s="55" t="str">
        <f t="shared" ca="1" si="14"/>
        <v/>
      </c>
      <c r="AG14" s="55" t="str">
        <f t="shared" ca="1" si="14"/>
        <v/>
      </c>
      <c r="AH14" s="55" t="str">
        <f t="shared" ref="AH14:AQ15" ca="1" si="15">IF(AND($C14="Goal",AH$7&gt;=$F14,AH$7&lt;=$F14+$G14-1),2,IF(AND($C14="Milestone",AH$7&gt;=$F14,AH$7&lt;=$F14+$G14-1),1,""))</f>
        <v/>
      </c>
      <c r="AI14" s="55" t="str">
        <f t="shared" ca="1" si="15"/>
        <v/>
      </c>
      <c r="AJ14" s="55" t="str">
        <f t="shared" ca="1" si="15"/>
        <v/>
      </c>
      <c r="AK14" s="55" t="str">
        <f t="shared" ca="1" si="15"/>
        <v/>
      </c>
      <c r="AL14" s="55" t="str">
        <f t="shared" ca="1" si="15"/>
        <v/>
      </c>
      <c r="AM14" s="55" t="str">
        <f t="shared" ca="1" si="15"/>
        <v/>
      </c>
      <c r="AN14" s="55" t="str">
        <f t="shared" ca="1" si="15"/>
        <v/>
      </c>
      <c r="AO14" s="55" t="str">
        <f t="shared" ca="1" si="15"/>
        <v/>
      </c>
      <c r="AP14" s="55" t="str">
        <f t="shared" ca="1" si="15"/>
        <v/>
      </c>
      <c r="AQ14" s="55" t="str">
        <f t="shared" ca="1" si="15"/>
        <v/>
      </c>
      <c r="AR14" s="55" t="str">
        <f t="shared" ref="AR14:BA15" ca="1" si="16">IF(AND($C14="Goal",AR$7&gt;=$F14,AR$7&lt;=$F14+$G14-1),2,IF(AND($C14="Milestone",AR$7&gt;=$F14,AR$7&lt;=$F14+$G14-1),1,""))</f>
        <v/>
      </c>
      <c r="AS14" s="55" t="str">
        <f t="shared" ca="1" si="16"/>
        <v/>
      </c>
      <c r="AT14" s="55" t="str">
        <f t="shared" ca="1" si="16"/>
        <v/>
      </c>
      <c r="AU14" s="55" t="str">
        <f t="shared" ca="1" si="16"/>
        <v/>
      </c>
      <c r="AV14" s="55" t="str">
        <f t="shared" ca="1" si="16"/>
        <v/>
      </c>
      <c r="AW14" s="55" t="str">
        <f t="shared" ca="1" si="16"/>
        <v/>
      </c>
      <c r="AX14" s="55" t="str">
        <f t="shared" ca="1" si="16"/>
        <v/>
      </c>
      <c r="AY14" s="55" t="str">
        <f t="shared" ca="1" si="16"/>
        <v/>
      </c>
      <c r="AZ14" s="55" t="str">
        <f t="shared" ca="1" si="16"/>
        <v/>
      </c>
      <c r="BA14" s="55" t="str">
        <f t="shared" ca="1" si="16"/>
        <v/>
      </c>
      <c r="BB14" s="55" t="str">
        <f t="shared" ref="BB14:BL15" ca="1" si="17">IF(AND($C14="Goal",BB$7&gt;=$F14,BB$7&lt;=$F14+$G14-1),2,IF(AND($C14="Milestone",BB$7&gt;=$F14,BB$7&lt;=$F14+$G14-1),1,""))</f>
        <v/>
      </c>
      <c r="BC14" s="55" t="str">
        <f t="shared" ca="1" si="17"/>
        <v/>
      </c>
      <c r="BD14" s="55" t="str">
        <f t="shared" ca="1" si="17"/>
        <v/>
      </c>
      <c r="BE14" s="55" t="str">
        <f t="shared" ca="1" si="17"/>
        <v/>
      </c>
      <c r="BF14" s="55" t="str">
        <f t="shared" ca="1" si="17"/>
        <v/>
      </c>
      <c r="BG14" s="55" t="str">
        <f t="shared" ca="1" si="17"/>
        <v/>
      </c>
      <c r="BH14" s="55" t="str">
        <f t="shared" ca="1" si="17"/>
        <v/>
      </c>
      <c r="BI14" s="55" t="str">
        <f t="shared" ca="1" si="17"/>
        <v/>
      </c>
      <c r="BJ14" s="55" t="str">
        <f t="shared" ca="1" si="17"/>
        <v/>
      </c>
      <c r="BK14" s="55" t="str">
        <f t="shared" ca="1" si="17"/>
        <v/>
      </c>
      <c r="BL14" s="55" t="str">
        <f t="shared" ca="1" si="17"/>
        <v/>
      </c>
    </row>
    <row r="15" spans="1:68" s="18" customFormat="1" ht="39.75" customHeight="1">
      <c r="A15" s="15"/>
      <c r="B15" s="64" t="s">
        <v>27</v>
      </c>
      <c r="C15" s="53"/>
      <c r="D15" s="53"/>
      <c r="E15" s="54"/>
      <c r="F15" s="49"/>
      <c r="G15" s="50"/>
      <c r="H15" s="53"/>
      <c r="I15" s="55" t="str">
        <f t="shared" ca="1" si="11"/>
        <v/>
      </c>
      <c r="J15" s="55" t="str">
        <f t="shared" ca="1" si="12"/>
        <v/>
      </c>
      <c r="K15" s="55" t="str">
        <f t="shared" ca="1" si="12"/>
        <v/>
      </c>
      <c r="L15" s="55" t="str">
        <f t="shared" ca="1" si="12"/>
        <v/>
      </c>
      <c r="M15" s="55" t="str">
        <f t="shared" ca="1" si="12"/>
        <v/>
      </c>
      <c r="N15" s="55" t="str">
        <f t="shared" ca="1" si="12"/>
        <v/>
      </c>
      <c r="O15" s="55" t="str">
        <f t="shared" ca="1" si="12"/>
        <v/>
      </c>
      <c r="P15" s="55" t="str">
        <f t="shared" ca="1" si="12"/>
        <v/>
      </c>
      <c r="Q15" s="55" t="str">
        <f t="shared" ca="1" si="12"/>
        <v/>
      </c>
      <c r="R15" s="55" t="str">
        <f t="shared" ca="1" si="12"/>
        <v/>
      </c>
      <c r="S15" s="55" t="str">
        <f t="shared" ref="S15:S22" ca="1" si="18">IF(AND($C15="Goal",S$7&gt;=$F15,S$7&lt;=$F15+$G15-1),2,IF(AND($C15="Milestone",S$7&gt;=$F15,S$7&lt;=$F15+$G15-1),1,""))</f>
        <v/>
      </c>
      <c r="T15" s="55" t="str">
        <f t="shared" ca="1" si="13"/>
        <v/>
      </c>
      <c r="U15" s="55" t="str">
        <f t="shared" ca="1" si="13"/>
        <v/>
      </c>
      <c r="V15" s="55" t="str">
        <f t="shared" ref="V15:W22" ca="1" si="19">IF(AND($C15="Goal",V$7&gt;=$F15,V$7&lt;=$F15+$G15-1),2,IF(AND($C15="Milestone",V$7&gt;=$F15,V$7&lt;=$F15+$G15-1),1,""))</f>
        <v/>
      </c>
      <c r="W15" s="55" t="str">
        <f t="shared" ca="1" si="19"/>
        <v/>
      </c>
      <c r="X15" s="55" t="str">
        <f t="shared" ca="1" si="14"/>
        <v/>
      </c>
      <c r="Y15" s="55" t="str">
        <f t="shared" ca="1" si="14"/>
        <v/>
      </c>
      <c r="Z15" s="55" t="str">
        <f t="shared" ca="1" si="14"/>
        <v/>
      </c>
      <c r="AA15" s="55" t="str">
        <f t="shared" ca="1" si="14"/>
        <v/>
      </c>
      <c r="AB15" s="55" t="str">
        <f t="shared" ca="1" si="14"/>
        <v/>
      </c>
      <c r="AC15" s="55" t="str">
        <f t="shared" ca="1" si="14"/>
        <v/>
      </c>
      <c r="AD15" s="55" t="str">
        <f t="shared" ca="1" si="14"/>
        <v/>
      </c>
      <c r="AE15" s="55" t="str">
        <f t="shared" ca="1" si="14"/>
        <v/>
      </c>
      <c r="AF15" s="55" t="str">
        <f t="shared" ca="1" si="14"/>
        <v/>
      </c>
      <c r="AG15" s="55" t="str">
        <f t="shared" ca="1" si="14"/>
        <v/>
      </c>
      <c r="AH15" s="55" t="str">
        <f t="shared" ca="1" si="15"/>
        <v/>
      </c>
      <c r="AI15" s="55" t="str">
        <f t="shared" ca="1" si="15"/>
        <v/>
      </c>
      <c r="AJ15" s="55" t="str">
        <f t="shared" ca="1" si="15"/>
        <v/>
      </c>
      <c r="AK15" s="55" t="str">
        <f t="shared" ca="1" si="15"/>
        <v/>
      </c>
      <c r="AL15" s="55" t="str">
        <f t="shared" ca="1" si="15"/>
        <v/>
      </c>
      <c r="AM15" s="55" t="str">
        <f t="shared" ca="1" si="15"/>
        <v/>
      </c>
      <c r="AN15" s="55" t="str">
        <f t="shared" ca="1" si="15"/>
        <v/>
      </c>
      <c r="AO15" s="55" t="str">
        <f t="shared" ca="1" si="15"/>
        <v/>
      </c>
      <c r="AP15" s="55" t="str">
        <f t="shared" ca="1" si="15"/>
        <v/>
      </c>
      <c r="AQ15" s="55" t="str">
        <f t="shared" ca="1" si="15"/>
        <v/>
      </c>
      <c r="AR15" s="55" t="str">
        <f t="shared" ca="1" si="16"/>
        <v/>
      </c>
      <c r="AS15" s="55" t="str">
        <f t="shared" ca="1" si="16"/>
        <v/>
      </c>
      <c r="AT15" s="55" t="str">
        <f t="shared" ca="1" si="16"/>
        <v/>
      </c>
      <c r="AU15" s="55" t="str">
        <f t="shared" ca="1" si="16"/>
        <v/>
      </c>
      <c r="AV15" s="55" t="str">
        <f t="shared" ca="1" si="16"/>
        <v/>
      </c>
      <c r="AW15" s="55" t="str">
        <f t="shared" ca="1" si="16"/>
        <v/>
      </c>
      <c r="AX15" s="55" t="str">
        <f t="shared" ca="1" si="16"/>
        <v/>
      </c>
      <c r="AY15" s="55" t="str">
        <f t="shared" ca="1" si="16"/>
        <v/>
      </c>
      <c r="AZ15" s="55" t="str">
        <f t="shared" ca="1" si="16"/>
        <v/>
      </c>
      <c r="BA15" s="55" t="str">
        <f t="shared" ca="1" si="16"/>
        <v/>
      </c>
      <c r="BB15" s="55" t="str">
        <f t="shared" ca="1" si="17"/>
        <v/>
      </c>
      <c r="BC15" s="55" t="str">
        <f t="shared" ca="1" si="17"/>
        <v/>
      </c>
      <c r="BD15" s="55" t="str">
        <f t="shared" ca="1" si="17"/>
        <v/>
      </c>
      <c r="BE15" s="55" t="str">
        <f t="shared" ca="1" si="17"/>
        <v/>
      </c>
      <c r="BF15" s="55" t="str">
        <f t="shared" ca="1" si="17"/>
        <v/>
      </c>
      <c r="BG15" s="55" t="str">
        <f t="shared" ca="1" si="17"/>
        <v/>
      </c>
      <c r="BH15" s="55" t="str">
        <f t="shared" ca="1" si="17"/>
        <v/>
      </c>
      <c r="BI15" s="55" t="str">
        <f t="shared" ca="1" si="17"/>
        <v/>
      </c>
      <c r="BJ15" s="55" t="str">
        <f t="shared" ca="1" si="17"/>
        <v/>
      </c>
      <c r="BK15" s="55" t="str">
        <f t="shared" ca="1" si="17"/>
        <v/>
      </c>
      <c r="BL15" s="55" t="str">
        <f t="shared" ca="1" si="17"/>
        <v/>
      </c>
    </row>
    <row r="16" spans="1:68" s="18" customFormat="1" ht="39.75" customHeight="1">
      <c r="A16" s="15"/>
      <c r="B16" s="65" t="s">
        <v>28</v>
      </c>
      <c r="C16" s="53" t="s">
        <v>29</v>
      </c>
      <c r="D16" s="53" t="s">
        <v>30</v>
      </c>
      <c r="E16" s="54">
        <v>0.6</v>
      </c>
      <c r="F16" s="49" t="d">
        <f>DATE(2026,3,8)</f>
        <v>2026-03-08</v>
      </c>
      <c r="G16" s="50">
        <v>4</v>
      </c>
      <c r="H16" s="53"/>
      <c r="I16" s="55" t="str">
        <f t="shared" ca="1" si="11"/>
        <v/>
      </c>
      <c r="J16" s="55" t="str">
        <f t="shared" ca="1" si="12"/>
        <v/>
      </c>
      <c r="K16" s="55" t="str">
        <f t="shared" ca="1" si="12"/>
        <v/>
      </c>
      <c r="L16" s="55" t="str">
        <f t="shared" ca="1" si="12"/>
        <v/>
      </c>
      <c r="M16" s="55" t="str">
        <f t="shared" ca="1" si="12"/>
        <v/>
      </c>
      <c r="N16" s="55" t="str">
        <f t="shared" ca="1" si="12"/>
        <v/>
      </c>
      <c r="O16" s="55" t="str">
        <f t="shared" ca="1" si="12"/>
        <v/>
      </c>
      <c r="P16" s="55" t="str">
        <f t="shared" ca="1" si="12"/>
        <v/>
      </c>
      <c r="Q16" s="55" t="str">
        <f t="shared" ca="1" si="12"/>
        <v/>
      </c>
      <c r="R16" s="55" t="str">
        <f t="shared" ca="1" si="12"/>
        <v/>
      </c>
      <c r="S16" s="55" t="str">
        <f t="shared" ca="1" si="18"/>
        <v/>
      </c>
      <c r="T16" s="55" t="str">
        <f t="shared" ca="1" si="13"/>
        <v/>
      </c>
      <c r="U16" s="55" t="str">
        <f t="shared" ca="1" si="13"/>
        <v/>
      </c>
      <c r="V16" s="66" t="str">
        <f t="shared" ca="1" si="19"/>
        <v/>
      </c>
      <c r="W16" s="67" t="str">
        <f t="shared" ca="1" si="19"/>
        <v/>
      </c>
      <c r="X16" s="67" t="str">
        <f t="shared" ref="X16:Y22" ca="1" si="20">IF(AND($C16="Goal",X$7&gt;=$F16,X$7&lt;=$F16+$G16-1),2,IF(AND($C16="Milestone",X$7&gt;=$F16,X$7&lt;=$F16+$G16-1),1,""))</f>
        <v/>
      </c>
      <c r="Y16" s="67" t="str">
        <f t="shared" ca="1" si="20"/>
        <v/>
      </c>
      <c r="Z16" s="62"/>
      <c r="AA16" s="55" t="str">
        <f t="shared" ref="AA16:BL16" ca="1" si="21">IF(AND($C16="Goal",AA$7&gt;=$F16,AA$7&lt;=$F16+$G16-1),2,IF(AND($C16="Milestone",AA$7&gt;=$F16,AA$7&lt;=$F16+$G16-1),1,""))</f>
        <v/>
      </c>
      <c r="AB16" s="55" t="str">
        <f t="shared" ca="1" si="21"/>
        <v/>
      </c>
      <c r="AC16" s="55" t="str">
        <f t="shared" ca="1" si="21"/>
        <v/>
      </c>
      <c r="AD16" s="55" t="str">
        <f t="shared" ca="1" si="21"/>
        <v/>
      </c>
      <c r="AE16" s="55" t="str">
        <f t="shared" ca="1" si="21"/>
        <v/>
      </c>
      <c r="AF16" s="55" t="str">
        <f t="shared" ca="1" si="21"/>
        <v/>
      </c>
      <c r="AG16" s="55" t="str">
        <f t="shared" ca="1" si="21"/>
        <v/>
      </c>
      <c r="AH16" s="55" t="str">
        <f t="shared" ca="1" si="21"/>
        <v/>
      </c>
      <c r="AI16" s="55" t="str">
        <f t="shared" ca="1" si="21"/>
        <v/>
      </c>
      <c r="AJ16" s="55" t="str">
        <f t="shared" ca="1" si="21"/>
        <v/>
      </c>
      <c r="AK16" s="55" t="str">
        <f t="shared" ca="1" si="21"/>
        <v/>
      </c>
      <c r="AL16" s="55" t="str">
        <f t="shared" ca="1" si="21"/>
        <v/>
      </c>
      <c r="AM16" s="55" t="str">
        <f t="shared" ca="1" si="21"/>
        <v/>
      </c>
      <c r="AN16" s="55" t="str">
        <f t="shared" ca="1" si="21"/>
        <v/>
      </c>
      <c r="AO16" s="55" t="str">
        <f t="shared" ca="1" si="21"/>
        <v/>
      </c>
      <c r="AP16" s="55" t="str">
        <f t="shared" ca="1" si="21"/>
        <v/>
      </c>
      <c r="AQ16" s="55" t="str">
        <f t="shared" ca="1" si="21"/>
        <v/>
      </c>
      <c r="AR16" s="55" t="str">
        <f t="shared" ca="1" si="21"/>
        <v/>
      </c>
      <c r="AS16" s="55" t="str">
        <f t="shared" ca="1" si="21"/>
        <v/>
      </c>
      <c r="AT16" s="55" t="str">
        <f t="shared" ca="1" si="21"/>
        <v/>
      </c>
      <c r="AU16" s="55" t="str">
        <f t="shared" ca="1" si="21"/>
        <v/>
      </c>
      <c r="AV16" s="55" t="str">
        <f t="shared" ca="1" si="21"/>
        <v/>
      </c>
      <c r="AW16" s="55" t="str">
        <f t="shared" ca="1" si="21"/>
        <v/>
      </c>
      <c r="AX16" s="55" t="str">
        <f t="shared" ca="1" si="21"/>
        <v/>
      </c>
      <c r="AY16" s="55" t="str">
        <f t="shared" ca="1" si="21"/>
        <v/>
      </c>
      <c r="AZ16" s="55" t="str">
        <f t="shared" ca="1" si="21"/>
        <v/>
      </c>
      <c r="BA16" s="55" t="str">
        <f t="shared" ca="1" si="21"/>
        <v/>
      </c>
      <c r="BB16" s="55" t="str">
        <f t="shared" ca="1" si="21"/>
        <v/>
      </c>
      <c r="BC16" s="55" t="str">
        <f t="shared" ca="1" si="21"/>
        <v/>
      </c>
      <c r="BD16" s="55" t="str">
        <f t="shared" ca="1" si="21"/>
        <v/>
      </c>
      <c r="BE16" s="55" t="str">
        <f t="shared" ca="1" si="21"/>
        <v/>
      </c>
      <c r="BF16" s="55" t="str">
        <f t="shared" ca="1" si="21"/>
        <v/>
      </c>
      <c r="BG16" s="55" t="str">
        <f t="shared" ca="1" si="21"/>
        <v/>
      </c>
      <c r="BH16" s="55" t="str">
        <f t="shared" ca="1" si="21"/>
        <v/>
      </c>
      <c r="BI16" s="55" t="str">
        <f t="shared" ca="1" si="21"/>
        <v/>
      </c>
      <c r="BJ16" s="55" t="str">
        <f t="shared" ca="1" si="21"/>
        <v/>
      </c>
      <c r="BK16" s="55" t="str">
        <f t="shared" ca="1" si="21"/>
        <v/>
      </c>
      <c r="BL16" s="55" t="str">
        <f t="shared" ca="1" si="21"/>
        <v/>
      </c>
    </row>
    <row r="17" spans="1:68" s="18" customFormat="1" ht="39.75" customHeight="1">
      <c r="A17" s="13"/>
      <c r="B17" s="68" t="s">
        <v>31</v>
      </c>
      <c r="C17" s="53" t="s">
        <v>10</v>
      </c>
      <c r="D17" s="53" t="s">
        <v>30</v>
      </c>
      <c r="E17" s="54">
        <v>0.5</v>
      </c>
      <c r="F17" s="49" t="d">
        <f>DATE(2026,3,8)</f>
        <v>2026-03-08</v>
      </c>
      <c r="G17" s="50">
        <v>5</v>
      </c>
      <c r="H17" s="53"/>
      <c r="I17" s="55" t="str">
        <f t="shared" ca="1" si="11"/>
        <v/>
      </c>
      <c r="J17" s="55" t="str">
        <f t="shared" ca="1" si="12"/>
        <v/>
      </c>
      <c r="K17" s="55" t="str">
        <f t="shared" ca="1" si="12"/>
        <v/>
      </c>
      <c r="L17" s="55" t="str">
        <f t="shared" ca="1" si="12"/>
        <v/>
      </c>
      <c r="M17" s="55" t="str">
        <f t="shared" ca="1" si="12"/>
        <v/>
      </c>
      <c r="N17" s="55" t="str">
        <f t="shared" ca="1" si="12"/>
        <v/>
      </c>
      <c r="O17" s="55" t="str">
        <f t="shared" ca="1" si="12"/>
        <v/>
      </c>
      <c r="P17" s="55" t="str">
        <f t="shared" ca="1" si="12"/>
        <v/>
      </c>
      <c r="Q17" s="55" t="str">
        <f t="shared" ca="1" si="12"/>
        <v/>
      </c>
      <c r="R17" s="55" t="str">
        <f t="shared" ca="1" si="12"/>
        <v/>
      </c>
      <c r="S17" s="55" t="str">
        <f t="shared" ca="1" si="18"/>
        <v/>
      </c>
      <c r="T17" s="55" t="str">
        <f t="shared" ca="1" si="13"/>
        <v/>
      </c>
      <c r="U17" s="55" t="str">
        <f t="shared" ca="1" si="13"/>
        <v/>
      </c>
      <c r="V17" s="55" t="str">
        <f t="shared" ca="1" si="19"/>
        <v/>
      </c>
      <c r="W17" s="55" t="str">
        <f t="shared" ca="1" si="19"/>
        <v/>
      </c>
      <c r="X17" s="55" t="str">
        <f t="shared" ca="1" si="20"/>
        <v/>
      </c>
      <c r="Y17" s="55" t="str">
        <f t="shared" ca="1" si="20"/>
        <v/>
      </c>
      <c r="Z17" s="55" t="str">
        <f t="shared" ref="Z17:AF22" ca="1" si="22">IF(AND($C17="Goal",Z$7&gt;=$F17,Z$7&lt;=$F17+$G17-1),2,IF(AND($C17="Milestone",Z$7&gt;=$F17,Z$7&lt;=$F17+$G17-1),1,""))</f>
        <v/>
      </c>
      <c r="AA17" s="55" t="str">
        <f t="shared" ca="1" si="22"/>
        <v/>
      </c>
      <c r="AB17" s="69" t="str">
        <f t="shared" ca="1" si="22"/>
        <v/>
      </c>
      <c r="AC17" s="69" t="str">
        <f t="shared" ca="1" si="22"/>
        <v/>
      </c>
      <c r="AD17" s="69" t="str">
        <f t="shared" ca="1" si="22"/>
        <v/>
      </c>
      <c r="AE17" s="69" t="str">
        <f t="shared" ca="1" si="22"/>
        <v/>
      </c>
      <c r="AF17" s="69" t="str">
        <f t="shared" ca="1" si="22"/>
        <v/>
      </c>
      <c r="AG17" s="62"/>
      <c r="AH17" s="55" t="str">
        <f t="shared" ref="AH17:AQ22" ca="1" si="23">IF(AND($C17="Goal",AH$7&gt;=$F17,AH$7&lt;=$F17+$G17-1),2,IF(AND($C17="Milestone",AH$7&gt;=$F17,AH$7&lt;=$F17+$G17-1),1,""))</f>
        <v/>
      </c>
      <c r="AI17" s="55" t="str">
        <f t="shared" ca="1" si="23"/>
        <v/>
      </c>
      <c r="AJ17" s="55" t="str">
        <f t="shared" ca="1" si="23"/>
        <v/>
      </c>
      <c r="AK17" s="55" t="str">
        <f t="shared" ca="1" si="23"/>
        <v/>
      </c>
      <c r="AL17" s="55" t="str">
        <f t="shared" ca="1" si="23"/>
        <v/>
      </c>
      <c r="AM17" s="55" t="str">
        <f t="shared" ca="1" si="23"/>
        <v/>
      </c>
      <c r="AN17" s="55" t="str">
        <f t="shared" ca="1" si="23"/>
        <v/>
      </c>
      <c r="AO17" s="55" t="str">
        <f t="shared" ca="1" si="23"/>
        <v/>
      </c>
      <c r="AP17" s="55" t="str">
        <f t="shared" ca="1" si="23"/>
        <v/>
      </c>
      <c r="AQ17" s="55" t="str">
        <f t="shared" ca="1" si="23"/>
        <v/>
      </c>
      <c r="AR17" s="55" t="str">
        <f t="shared" ref="AR17:BA22" ca="1" si="24">IF(AND($C17="Goal",AR$7&gt;=$F17,AR$7&lt;=$F17+$G17-1),2,IF(AND($C17="Milestone",AR$7&gt;=$F17,AR$7&lt;=$F17+$G17-1),1,""))</f>
        <v/>
      </c>
      <c r="AS17" s="55" t="str">
        <f t="shared" ca="1" si="24"/>
        <v/>
      </c>
      <c r="AT17" s="55" t="str">
        <f t="shared" ca="1" si="24"/>
        <v/>
      </c>
      <c r="AU17" s="55" t="str">
        <f t="shared" ca="1" si="24"/>
        <v/>
      </c>
      <c r="AV17" s="55" t="str">
        <f t="shared" ca="1" si="24"/>
        <v/>
      </c>
      <c r="AW17" s="55" t="str">
        <f t="shared" ca="1" si="24"/>
        <v/>
      </c>
      <c r="AX17" s="55" t="str">
        <f t="shared" ca="1" si="24"/>
        <v/>
      </c>
      <c r="AY17" s="55" t="str">
        <f t="shared" ca="1" si="24"/>
        <v/>
      </c>
      <c r="AZ17" s="55" t="str">
        <f t="shared" ca="1" si="24"/>
        <v/>
      </c>
      <c r="BA17" s="55" t="str">
        <f t="shared" ca="1" si="24"/>
        <v/>
      </c>
      <c r="BB17" s="55" t="str">
        <f t="shared" ref="BB17:BL22" ca="1" si="25">IF(AND($C17="Goal",BB$7&gt;=$F17,BB$7&lt;=$F17+$G17-1),2,IF(AND($C17="Milestone",BB$7&gt;=$F17,BB$7&lt;=$F17+$G17-1),1,""))</f>
        <v/>
      </c>
      <c r="BC17" s="55" t="str">
        <f t="shared" ca="1" si="25"/>
        <v/>
      </c>
      <c r="BD17" s="55" t="str">
        <f t="shared" ca="1" si="25"/>
        <v/>
      </c>
      <c r="BE17" s="55" t="str">
        <f t="shared" ca="1" si="25"/>
        <v/>
      </c>
      <c r="BF17" s="55" t="str">
        <f t="shared" ca="1" si="25"/>
        <v/>
      </c>
      <c r="BG17" s="55" t="str">
        <f t="shared" ca="1" si="25"/>
        <v/>
      </c>
      <c r="BH17" s="55" t="str">
        <f t="shared" ca="1" si="25"/>
        <v/>
      </c>
      <c r="BI17" s="55" t="str">
        <f t="shared" ca="1" si="25"/>
        <v/>
      </c>
      <c r="BJ17" s="55" t="str">
        <f t="shared" ca="1" si="25"/>
        <v/>
      </c>
      <c r="BK17" s="55" t="str">
        <f t="shared" ca="1" si="25"/>
        <v/>
      </c>
      <c r="BL17" s="55" t="str">
        <f t="shared" ca="1" si="25"/>
        <v/>
      </c>
    </row>
    <row r="18" spans="1:68" s="18" customFormat="1" ht="39.75" customHeight="1">
      <c r="A18" s="13"/>
      <c r="B18" s="70" t="s">
        <v>32</v>
      </c>
      <c r="C18" s="53" t="s">
        <v>33</v>
      </c>
      <c r="D18" s="53" t="s">
        <v>13</v>
      </c>
      <c r="E18" s="54">
        <v>0.33</v>
      </c>
      <c r="F18" s="49" t="d">
        <f>DATE(2026,3,14)</f>
        <v>2026-03-14</v>
      </c>
      <c r="G18" s="50">
        <v>11</v>
      </c>
      <c r="H18" s="53"/>
      <c r="I18" s="55" t="str">
        <f t="shared" ca="1" si="11"/>
        <v/>
      </c>
      <c r="J18" s="55" t="str">
        <f t="shared" ca="1" si="12"/>
        <v/>
      </c>
      <c r="K18" s="55" t="str">
        <f t="shared" ca="1" si="12"/>
        <v/>
      </c>
      <c r="L18" s="55" t="str">
        <f t="shared" ca="1" si="12"/>
        <v/>
      </c>
      <c r="M18" s="55" t="str">
        <f t="shared" ca="1" si="12"/>
        <v/>
      </c>
      <c r="N18" s="55" t="str">
        <f t="shared" ca="1" si="12"/>
        <v/>
      </c>
      <c r="O18" s="55" t="str">
        <f t="shared" ca="1" si="12"/>
        <v/>
      </c>
      <c r="P18" s="55" t="str">
        <f t="shared" ca="1" si="12"/>
        <v/>
      </c>
      <c r="Q18" s="55" t="str">
        <f t="shared" ca="1" si="12"/>
        <v/>
      </c>
      <c r="R18" s="55" t="str">
        <f t="shared" ca="1" si="12"/>
        <v/>
      </c>
      <c r="S18" s="55" t="str">
        <f t="shared" ca="1" si="18"/>
        <v/>
      </c>
      <c r="T18" s="55" t="str">
        <f t="shared" ca="1" si="13"/>
        <v/>
      </c>
      <c r="U18" s="55" t="str">
        <f t="shared" ca="1" si="13"/>
        <v/>
      </c>
      <c r="V18" s="55" t="str">
        <f t="shared" ca="1" si="19"/>
        <v/>
      </c>
      <c r="W18" s="55" t="str">
        <f t="shared" ca="1" si="19"/>
        <v/>
      </c>
      <c r="X18" s="55" t="str">
        <f t="shared" ca="1" si="20"/>
        <v/>
      </c>
      <c r="Y18" s="55" t="str">
        <f t="shared" ca="1" si="20"/>
        <v/>
      </c>
      <c r="Z18" s="55" t="str">
        <f t="shared" ca="1" si="22"/>
        <v/>
      </c>
      <c r="AA18" s="55" t="str">
        <f t="shared" ca="1" si="22"/>
        <v/>
      </c>
      <c r="AB18" s="55" t="str">
        <f t="shared" ca="1" si="22"/>
        <v/>
      </c>
      <c r="AC18" s="55" t="str">
        <f t="shared" ca="1" si="22"/>
        <v/>
      </c>
      <c r="AD18" s="55" t="str">
        <f t="shared" ca="1" si="22"/>
        <v/>
      </c>
      <c r="AE18" s="55" t="str">
        <f t="shared" ca="1" si="22"/>
        <v/>
      </c>
      <c r="AF18" s="55" t="str">
        <f t="shared" ca="1" si="22"/>
        <v/>
      </c>
      <c r="AG18" s="55" t="str">
        <f ca="1">IF(AND($C18="Goal",AG$7&gt;=$F18,AG$7&lt;=$F18+$G18-1),2,IF(AND($C18="Milestone",AG$7&gt;=$F18,AG$7&lt;=$F18+$G18-1),1,""))</f>
        <v/>
      </c>
      <c r="AH18" s="55" t="str">
        <f t="shared" ca="1" si="23"/>
        <v/>
      </c>
      <c r="AI18" s="55" t="str">
        <f t="shared" ca="1" si="23"/>
        <v/>
      </c>
      <c r="AJ18" s="55" t="str">
        <f t="shared" ca="1" si="23"/>
        <v/>
      </c>
      <c r="AK18" s="55" t="str">
        <f t="shared" ca="1" si="23"/>
        <v/>
      </c>
      <c r="AL18" s="55" t="str">
        <f t="shared" ca="1" si="23"/>
        <v/>
      </c>
      <c r="AM18" s="55" t="str">
        <f t="shared" ca="1" si="23"/>
        <v/>
      </c>
      <c r="AN18" s="55" t="str">
        <f t="shared" ca="1" si="23"/>
        <v/>
      </c>
      <c r="AO18" s="55" t="str">
        <f t="shared" ca="1" si="23"/>
        <v/>
      </c>
      <c r="AP18" s="55" t="str">
        <f t="shared" ca="1" si="23"/>
        <v/>
      </c>
      <c r="AQ18" s="55" t="str">
        <f t="shared" ca="1" si="23"/>
        <v/>
      </c>
      <c r="AR18" s="55" t="str">
        <f t="shared" ca="1" si="24"/>
        <v/>
      </c>
      <c r="AS18" s="55" t="str">
        <f t="shared" ca="1" si="24"/>
        <v/>
      </c>
      <c r="AT18" s="55" t="str">
        <f t="shared" ca="1" si="24"/>
        <v/>
      </c>
      <c r="AU18" s="55" t="str">
        <f t="shared" ca="1" si="24"/>
        <v/>
      </c>
      <c r="AV18" s="55" t="str">
        <f t="shared" ca="1" si="24"/>
        <v/>
      </c>
      <c r="AW18" s="55" t="str">
        <f t="shared" ca="1" si="24"/>
        <v/>
      </c>
      <c r="AX18" s="55" t="str">
        <f t="shared" ca="1" si="24"/>
        <v/>
      </c>
      <c r="AY18" s="55" t="str">
        <f t="shared" ca="1" si="24"/>
        <v/>
      </c>
      <c r="AZ18" s="55" t="str">
        <f t="shared" ca="1" si="24"/>
        <v/>
      </c>
      <c r="BA18" s="55" t="str">
        <f t="shared" ca="1" si="24"/>
        <v/>
      </c>
      <c r="BB18" s="55" t="str">
        <f t="shared" ca="1" si="25"/>
        <v/>
      </c>
      <c r="BC18" s="55" t="str">
        <f t="shared" ca="1" si="25"/>
        <v/>
      </c>
      <c r="BD18" s="55" t="str">
        <f t="shared" ca="1" si="25"/>
        <v/>
      </c>
      <c r="BE18" s="55" t="str">
        <f t="shared" ca="1" si="25"/>
        <v/>
      </c>
      <c r="BF18" s="55" t="str">
        <f t="shared" ca="1" si="25"/>
        <v/>
      </c>
      <c r="BG18" s="55" t="str">
        <f t="shared" ca="1" si="25"/>
        <v/>
      </c>
      <c r="BH18" s="55" t="str">
        <f t="shared" ca="1" si="25"/>
        <v/>
      </c>
      <c r="BI18" s="55" t="str">
        <f t="shared" ca="1" si="25"/>
        <v/>
      </c>
      <c r="BJ18" s="55" t="str">
        <f t="shared" ca="1" si="25"/>
        <v/>
      </c>
      <c r="BK18" s="55" t="str">
        <f t="shared" ca="1" si="25"/>
        <v/>
      </c>
      <c r="BL18" s="55" t="str">
        <f t="shared" ca="1" si="25"/>
        <v/>
      </c>
    </row>
    <row r="19" spans="1:68" s="18" customFormat="1" ht="39.75" customHeight="1">
      <c r="A19" s="13"/>
      <c r="B19" s="64" t="s">
        <v>34</v>
      </c>
      <c r="C19" s="53"/>
      <c r="D19" s="53"/>
      <c r="E19" s="54"/>
      <c r="F19" s="49"/>
      <c r="G19" s="50"/>
      <c r="H19" s="53"/>
      <c r="I19" s="55" t="str">
        <f t="shared" ca="1" si="11"/>
        <v/>
      </c>
      <c r="J19" s="55" t="str">
        <f t="shared" ca="1" si="12"/>
        <v/>
      </c>
      <c r="K19" s="55" t="str">
        <f t="shared" ca="1" si="12"/>
        <v/>
      </c>
      <c r="L19" s="55" t="str">
        <f t="shared" ca="1" si="12"/>
        <v/>
      </c>
      <c r="M19" s="55" t="str">
        <f t="shared" ca="1" si="12"/>
        <v/>
      </c>
      <c r="N19" s="55" t="str">
        <f t="shared" ca="1" si="12"/>
        <v/>
      </c>
      <c r="O19" s="55" t="str">
        <f t="shared" ca="1" si="12"/>
        <v/>
      </c>
      <c r="P19" s="55" t="str">
        <f t="shared" ca="1" si="12"/>
        <v/>
      </c>
      <c r="Q19" s="55" t="str">
        <f t="shared" ca="1" si="12"/>
        <v/>
      </c>
      <c r="R19" s="55" t="str">
        <f t="shared" ca="1" si="12"/>
        <v/>
      </c>
      <c r="S19" s="55" t="str">
        <f t="shared" ca="1" si="18"/>
        <v/>
      </c>
      <c r="T19" s="55" t="str">
        <f t="shared" ca="1" si="13"/>
        <v/>
      </c>
      <c r="U19" s="55" t="str">
        <f t="shared" ca="1" si="13"/>
        <v/>
      </c>
      <c r="V19" s="55" t="str">
        <f t="shared" ca="1" si="19"/>
        <v/>
      </c>
      <c r="W19" s="55" t="str">
        <f t="shared" ca="1" si="19"/>
        <v/>
      </c>
      <c r="X19" s="55" t="str">
        <f t="shared" ca="1" si="20"/>
        <v/>
      </c>
      <c r="Y19" s="55" t="str">
        <f t="shared" ca="1" si="20"/>
        <v/>
      </c>
      <c r="Z19" s="55" t="str">
        <f t="shared" ca="1" si="22"/>
        <v/>
      </c>
      <c r="AA19" s="55" t="str">
        <f t="shared" ca="1" si="22"/>
        <v/>
      </c>
      <c r="AB19" s="55" t="str">
        <f t="shared" ca="1" si="22"/>
        <v/>
      </c>
      <c r="AC19" s="55" t="str">
        <f t="shared" ca="1" si="22"/>
        <v/>
      </c>
      <c r="AD19" s="55" t="str">
        <f t="shared" ca="1" si="22"/>
        <v/>
      </c>
      <c r="AE19" s="55" t="str">
        <f t="shared" ca="1" si="22"/>
        <v/>
      </c>
      <c r="AF19" s="55" t="str">
        <f t="shared" ca="1" si="22"/>
        <v/>
      </c>
      <c r="AG19" s="55" t="str">
        <f ca="1">IF(AND($C19="Goal",AG$7&gt;=$F19,AG$7&lt;=$F19+$G19-1),2,IF(AND($C19="Milestone",AG$7&gt;=$F19,AG$7&lt;=$F19+$G19-1),1,""))</f>
        <v/>
      </c>
      <c r="AH19" s="55" t="str">
        <f t="shared" ca="1" si="23"/>
        <v/>
      </c>
      <c r="AI19" s="55" t="str">
        <f t="shared" ca="1" si="23"/>
        <v/>
      </c>
      <c r="AJ19" s="55" t="str">
        <f t="shared" ca="1" si="23"/>
        <v/>
      </c>
      <c r="AK19" s="55" t="str">
        <f t="shared" ca="1" si="23"/>
        <v/>
      </c>
      <c r="AL19" s="55" t="str">
        <f t="shared" ca="1" si="23"/>
        <v/>
      </c>
      <c r="AM19" s="55" t="str">
        <f t="shared" ca="1" si="23"/>
        <v/>
      </c>
      <c r="AN19" s="55" t="str">
        <f t="shared" ca="1" si="23"/>
        <v/>
      </c>
      <c r="AO19" s="55" t="str">
        <f t="shared" ca="1" si="23"/>
        <v/>
      </c>
      <c r="AP19" s="55" t="str">
        <f t="shared" ca="1" si="23"/>
        <v/>
      </c>
      <c r="AQ19" s="55" t="str">
        <f t="shared" ca="1" si="23"/>
        <v/>
      </c>
      <c r="AR19" s="55" t="str">
        <f t="shared" ca="1" si="24"/>
        <v/>
      </c>
      <c r="AS19" s="55" t="str">
        <f t="shared" ca="1" si="24"/>
        <v/>
      </c>
      <c r="AT19" s="55" t="str">
        <f t="shared" ca="1" si="24"/>
        <v/>
      </c>
      <c r="AU19" s="55" t="str">
        <f t="shared" ca="1" si="24"/>
        <v/>
      </c>
      <c r="AV19" s="55" t="str">
        <f t="shared" ca="1" si="24"/>
        <v/>
      </c>
      <c r="AW19" s="55" t="str">
        <f t="shared" ca="1" si="24"/>
        <v/>
      </c>
      <c r="AX19" s="55" t="str">
        <f t="shared" ca="1" si="24"/>
        <v/>
      </c>
      <c r="AY19" s="55" t="str">
        <f t="shared" ca="1" si="24"/>
        <v/>
      </c>
      <c r="AZ19" s="55" t="str">
        <f t="shared" ca="1" si="24"/>
        <v/>
      </c>
      <c r="BA19" s="55" t="str">
        <f t="shared" ca="1" si="24"/>
        <v/>
      </c>
      <c r="BB19" s="55" t="str">
        <f t="shared" ca="1" si="25"/>
        <v/>
      </c>
      <c r="BC19" s="55" t="str">
        <f t="shared" ca="1" si="25"/>
        <v/>
      </c>
      <c r="BD19" s="55" t="str">
        <f t="shared" ca="1" si="25"/>
        <v/>
      </c>
      <c r="BE19" s="55" t="str">
        <f t="shared" ca="1" si="25"/>
        <v/>
      </c>
      <c r="BF19" s="55" t="str">
        <f t="shared" ca="1" si="25"/>
        <v/>
      </c>
      <c r="BG19" s="55" t="str">
        <f t="shared" ca="1" si="25"/>
        <v/>
      </c>
      <c r="BH19" s="55" t="str">
        <f t="shared" ca="1" si="25"/>
        <v/>
      </c>
      <c r="BI19" s="55" t="str">
        <f t="shared" ca="1" si="25"/>
        <v/>
      </c>
      <c r="BJ19" s="55" t="str">
        <f t="shared" ca="1" si="25"/>
        <v/>
      </c>
      <c r="BK19" s="55" t="str">
        <f t="shared" ca="1" si="25"/>
        <v/>
      </c>
      <c r="BL19" s="55" t="str">
        <f t="shared" ca="1" si="25"/>
        <v/>
      </c>
    </row>
    <row r="20" spans="1:68" s="18" customFormat="1" ht="39.75" customHeight="1">
      <c r="A20" s="13"/>
      <c r="B20" s="70" t="s">
        <v>35</v>
      </c>
      <c r="C20" s="53" t="s">
        <v>36</v>
      </c>
      <c r="D20" s="53" t="s">
        <v>37</v>
      </c>
      <c r="E20" s="54"/>
      <c r="F20" s="49" t="d">
        <f>DATE(2026,3,20)</f>
        <v>2026-03-20</v>
      </c>
      <c r="G20" s="50">
        <v>6</v>
      </c>
      <c r="H20" s="53"/>
      <c r="I20" s="55" t="str">
        <f ca="1">IF(AND($C19="Goal",I$7&gt;=$F20,I$7&lt;=$F20+$G20-1),2,IF(AND(BR17="Milestone",I$7&gt;=$F20,I$7&lt;=$F20+$G20-1),1,""))</f>
        <v/>
      </c>
      <c r="J20" s="55" t="str">
        <f t="shared" ca="1" si="12"/>
        <v/>
      </c>
      <c r="K20" s="55" t="str">
        <f t="shared" ca="1" si="12"/>
        <v/>
      </c>
      <c r="L20" s="55" t="str">
        <f t="shared" ca="1" si="12"/>
        <v/>
      </c>
      <c r="M20" s="55" t="str">
        <f t="shared" ca="1" si="12"/>
        <v/>
      </c>
      <c r="N20" s="55" t="str">
        <f t="shared" ca="1" si="12"/>
        <v/>
      </c>
      <c r="O20" s="55" t="str">
        <f t="shared" ca="1" si="12"/>
        <v/>
      </c>
      <c r="P20" s="55" t="str">
        <f t="shared" ca="1" si="12"/>
        <v/>
      </c>
      <c r="Q20" s="55" t="str">
        <f t="shared" ca="1" si="12"/>
        <v/>
      </c>
      <c r="R20" s="55" t="str">
        <f t="shared" ca="1" si="12"/>
        <v/>
      </c>
      <c r="S20" s="55" t="str">
        <f t="shared" ca="1" si="18"/>
        <v/>
      </c>
      <c r="T20" s="55" t="str">
        <f t="shared" ca="1" si="13"/>
        <v/>
      </c>
      <c r="U20" s="55" t="str">
        <f t="shared" ca="1" si="13"/>
        <v/>
      </c>
      <c r="V20" s="55" t="str">
        <f t="shared" ca="1" si="19"/>
        <v/>
      </c>
      <c r="W20" s="55" t="str">
        <f t="shared" ca="1" si="19"/>
        <v/>
      </c>
      <c r="X20" s="55" t="str">
        <f t="shared" ca="1" si="20"/>
        <v/>
      </c>
      <c r="Y20" s="55" t="str">
        <f t="shared" ca="1" si="20"/>
        <v/>
      </c>
      <c r="Z20" s="55" t="str">
        <f t="shared" ca="1" si="22"/>
        <v/>
      </c>
      <c r="AA20" s="55" t="str">
        <f t="shared" ca="1" si="22"/>
        <v/>
      </c>
      <c r="AB20" s="55" t="str">
        <f t="shared" ca="1" si="22"/>
        <v/>
      </c>
      <c r="AC20" s="55" t="str">
        <f t="shared" ca="1" si="22"/>
        <v/>
      </c>
      <c r="AD20" s="55" t="str">
        <f t="shared" ca="1" si="22"/>
        <v/>
      </c>
      <c r="AE20" s="55" t="str">
        <f t="shared" ca="1" si="22"/>
        <v/>
      </c>
      <c r="AF20" s="55" t="str">
        <f t="shared" ca="1" si="22"/>
        <v/>
      </c>
      <c r="AG20" s="55" t="str">
        <f ca="1">IF(AND($C20="Goal",AG$7&gt;=$F20,AG$7&lt;=$F20+$G20-1),2,IF(AND($C20="Milestone",AG$7&gt;=$F20,AG$7&lt;=$F20+$G20-1),1,""))</f>
        <v/>
      </c>
      <c r="AH20" s="71" t="str">
        <f t="shared" ca="1" si="23"/>
        <v/>
      </c>
      <c r="AI20" s="71" t="str">
        <f t="shared" ca="1" si="23"/>
        <v/>
      </c>
      <c r="AJ20" s="71" t="str">
        <f t="shared" ca="1" si="23"/>
        <v/>
      </c>
      <c r="AK20" s="71" t="str">
        <f t="shared" ca="1" si="23"/>
        <v/>
      </c>
      <c r="AL20" s="71" t="str">
        <f t="shared" ca="1" si="23"/>
        <v/>
      </c>
      <c r="AM20" s="71" t="str">
        <f t="shared" ca="1" si="23"/>
        <v/>
      </c>
      <c r="AN20" s="71" t="str">
        <f t="shared" ca="1" si="23"/>
        <v/>
      </c>
      <c r="AO20" s="55" t="str">
        <f t="shared" ca="1" si="23"/>
        <v/>
      </c>
      <c r="AP20" s="55" t="str">
        <f t="shared" ca="1" si="23"/>
        <v/>
      </c>
      <c r="AQ20" s="55" t="str">
        <f t="shared" ca="1" si="23"/>
        <v/>
      </c>
      <c r="AR20" s="55" t="str">
        <f t="shared" ca="1" si="24"/>
        <v/>
      </c>
      <c r="AS20" s="55" t="str">
        <f t="shared" ca="1" si="24"/>
        <v/>
      </c>
      <c r="AT20" s="55" t="str">
        <f t="shared" ca="1" si="24"/>
        <v/>
      </c>
      <c r="AU20" s="55" t="str">
        <f t="shared" ca="1" si="24"/>
        <v/>
      </c>
      <c r="AV20" s="55" t="str">
        <f t="shared" ca="1" si="24"/>
        <v/>
      </c>
      <c r="AW20" s="55" t="str">
        <f t="shared" ca="1" si="24"/>
        <v/>
      </c>
      <c r="AX20" s="55" t="str">
        <f t="shared" ca="1" si="24"/>
        <v/>
      </c>
      <c r="AY20" s="55" t="str">
        <f t="shared" ca="1" si="24"/>
        <v/>
      </c>
      <c r="AZ20" s="55" t="str">
        <f t="shared" ca="1" si="24"/>
        <v/>
      </c>
      <c r="BA20" s="55" t="str">
        <f t="shared" ca="1" si="24"/>
        <v/>
      </c>
      <c r="BB20" s="55" t="str">
        <f t="shared" ca="1" si="25"/>
        <v/>
      </c>
      <c r="BC20" s="55" t="str">
        <f t="shared" ca="1" si="25"/>
        <v/>
      </c>
      <c r="BD20" s="55" t="str">
        <f t="shared" ca="1" si="25"/>
        <v/>
      </c>
      <c r="BE20" s="55" t="str">
        <f t="shared" ca="1" si="25"/>
        <v/>
      </c>
      <c r="BF20" s="55" t="str">
        <f t="shared" ca="1" si="25"/>
        <v/>
      </c>
      <c r="BG20" s="55" t="str">
        <f t="shared" ca="1" si="25"/>
        <v/>
      </c>
      <c r="BH20" s="55" t="str">
        <f t="shared" ca="1" si="25"/>
        <v/>
      </c>
      <c r="BI20" s="55" t="str">
        <f t="shared" ca="1" si="25"/>
        <v/>
      </c>
      <c r="BJ20" s="55" t="str">
        <f t="shared" ca="1" si="25"/>
        <v/>
      </c>
      <c r="BK20" s="55" t="str">
        <f t="shared" ca="1" si="25"/>
        <v/>
      </c>
      <c r="BL20" s="55" t="str">
        <f t="shared" ca="1" si="25"/>
        <v/>
      </c>
    </row>
    <row r="21" spans="1:68" s="18" customFormat="1" ht="39.75" customHeight="1">
      <c r="A21" s="13"/>
      <c r="B21" s="70" t="s">
        <v>38</v>
      </c>
      <c r="C21" s="53" t="s">
        <v>39</v>
      </c>
      <c r="D21" s="53" t="s">
        <v>37</v>
      </c>
      <c r="E21" s="54"/>
      <c r="F21" s="49"/>
      <c r="G21" s="50">
        <v>3</v>
      </c>
      <c r="H21" s="53"/>
      <c r="I21" s="55" t="str">
        <f ca="1">IF(AND($C21="Goal",I$7&gt;=$F21,I$7&lt;=$F21+$G21-1),2,IF(AND($C21="Milestone",I$7&gt;=$F21,I$7&lt;=$F21+$G21-1),1,""))</f>
        <v/>
      </c>
      <c r="J21" s="55" t="str">
        <f t="shared" ca="1" si="12"/>
        <v/>
      </c>
      <c r="K21" s="55" t="str">
        <f t="shared" ca="1" si="12"/>
        <v/>
      </c>
      <c r="L21" s="55" t="str">
        <f t="shared" ca="1" si="12"/>
        <v/>
      </c>
      <c r="M21" s="55" t="str">
        <f t="shared" ca="1" si="12"/>
        <v/>
      </c>
      <c r="N21" s="55" t="str">
        <f t="shared" ca="1" si="12"/>
        <v/>
      </c>
      <c r="O21" s="55" t="str">
        <f t="shared" ca="1" si="12"/>
        <v/>
      </c>
      <c r="P21" s="55" t="str">
        <f t="shared" ca="1" si="12"/>
        <v/>
      </c>
      <c r="Q21" s="55" t="str">
        <f t="shared" ca="1" si="12"/>
        <v/>
      </c>
      <c r="R21" s="55" t="str">
        <f t="shared" ca="1" si="12"/>
        <v/>
      </c>
      <c r="S21" s="55" t="str">
        <f t="shared" ca="1" si="18"/>
        <v/>
      </c>
      <c r="T21" s="55" t="str">
        <f t="shared" ca="1" si="13"/>
        <v/>
      </c>
      <c r="U21" s="55" t="str">
        <f t="shared" ca="1" si="13"/>
        <v/>
      </c>
      <c r="V21" s="55" t="str">
        <f t="shared" ca="1" si="19"/>
        <v/>
      </c>
      <c r="W21" s="55" t="str">
        <f t="shared" ca="1" si="19"/>
        <v/>
      </c>
      <c r="X21" s="55" t="str">
        <f t="shared" ca="1" si="20"/>
        <v/>
      </c>
      <c r="Y21" s="55" t="str">
        <f t="shared" ca="1" si="20"/>
        <v/>
      </c>
      <c r="Z21" s="55" t="str">
        <f t="shared" ca="1" si="22"/>
        <v/>
      </c>
      <c r="AA21" s="55" t="str">
        <f t="shared" ca="1" si="22"/>
        <v/>
      </c>
      <c r="AB21" s="55" t="str">
        <f t="shared" ca="1" si="22"/>
        <v/>
      </c>
      <c r="AC21" s="55" t="str">
        <f t="shared" ca="1" si="22"/>
        <v/>
      </c>
      <c r="AD21" s="55" t="str">
        <f t="shared" ca="1" si="22"/>
        <v/>
      </c>
      <c r="AE21" s="55" t="str">
        <f t="shared" ca="1" si="22"/>
        <v/>
      </c>
      <c r="AF21" s="55" t="str">
        <f t="shared" ca="1" si="22"/>
        <v/>
      </c>
      <c r="AG21" s="55" t="str">
        <f ca="1">IF(AND($C21="Goal",AG$7&gt;=$F21,AG$7&lt;=$F21+$G21-1),2,IF(AND($C21="Milestone",AG$7&gt;=$F21,AG$7&lt;=$F21+$G21-1),1,""))</f>
        <v/>
      </c>
      <c r="AH21" s="55" t="str">
        <f t="shared" ca="1" si="23"/>
        <v/>
      </c>
      <c r="AI21" s="55" t="str">
        <f t="shared" ca="1" si="23"/>
        <v/>
      </c>
      <c r="AJ21" s="55" t="str">
        <f t="shared" ca="1" si="23"/>
        <v/>
      </c>
      <c r="AK21" s="55" t="str">
        <f t="shared" ca="1" si="23"/>
        <v/>
      </c>
      <c r="AL21" s="55" t="str">
        <f t="shared" ca="1" si="23"/>
        <v/>
      </c>
      <c r="AM21" s="55" t="str">
        <f t="shared" ca="1" si="23"/>
        <v/>
      </c>
      <c r="AN21" s="55" t="str">
        <f t="shared" ca="1" si="23"/>
        <v/>
      </c>
      <c r="AO21" s="55" t="str">
        <f t="shared" ca="1" si="23"/>
        <v/>
      </c>
      <c r="AP21" s="72" t="str">
        <f t="shared" ca="1" si="23"/>
        <v/>
      </c>
      <c r="AQ21" s="72" t="str">
        <f t="shared" ca="1" si="23"/>
        <v/>
      </c>
      <c r="AR21" s="72" t="str">
        <f t="shared" ca="1" si="24"/>
        <v/>
      </c>
      <c r="AS21" s="55" t="str">
        <f t="shared" ca="1" si="24"/>
        <v/>
      </c>
      <c r="AT21" s="55" t="str">
        <f t="shared" ca="1" si="24"/>
        <v/>
      </c>
      <c r="AU21" s="55" t="str">
        <f t="shared" ca="1" si="24"/>
        <v/>
      </c>
      <c r="AV21" s="55" t="str">
        <f t="shared" ca="1" si="24"/>
        <v/>
      </c>
      <c r="AW21" s="55" t="str">
        <f t="shared" ca="1" si="24"/>
        <v/>
      </c>
      <c r="AX21" s="55" t="str">
        <f t="shared" ca="1" si="24"/>
        <v/>
      </c>
      <c r="AY21" s="55" t="str">
        <f t="shared" ca="1" si="24"/>
        <v/>
      </c>
      <c r="AZ21" s="55" t="str">
        <f t="shared" ca="1" si="24"/>
        <v/>
      </c>
      <c r="BA21" s="55" t="str">
        <f t="shared" ca="1" si="24"/>
        <v/>
      </c>
      <c r="BB21" s="55" t="str">
        <f t="shared" ca="1" si="25"/>
        <v/>
      </c>
      <c r="BC21" s="55" t="str">
        <f t="shared" ca="1" si="25"/>
        <v/>
      </c>
      <c r="BD21" s="55" t="str">
        <f t="shared" ca="1" si="25"/>
        <v/>
      </c>
      <c r="BE21" s="55" t="str">
        <f t="shared" ca="1" si="25"/>
        <v/>
      </c>
      <c r="BF21" s="55" t="str">
        <f t="shared" ca="1" si="25"/>
        <v/>
      </c>
      <c r="BG21" s="55" t="str">
        <f t="shared" ca="1" si="25"/>
        <v/>
      </c>
      <c r="BH21" s="55" t="str">
        <f t="shared" ca="1" si="25"/>
        <v/>
      </c>
      <c r="BI21" s="55" t="str">
        <f t="shared" ca="1" si="25"/>
        <v/>
      </c>
      <c r="BJ21" s="55" t="str">
        <f t="shared" ca="1" si="25"/>
        <v/>
      </c>
      <c r="BK21" s="55" t="str">
        <f t="shared" ca="1" si="25"/>
        <v/>
      </c>
      <c r="BL21" s="55" t="str">
        <f t="shared" ca="1" si="25"/>
        <v/>
      </c>
    </row>
    <row r="22" spans="1:68" s="18" customFormat="1" ht="39.75" customHeight="1">
      <c r="A22" s="13"/>
      <c r="B22" s="70" t="s">
        <v>40</v>
      </c>
      <c r="C22" s="53" t="s">
        <v>36</v>
      </c>
      <c r="D22" s="53" t="s">
        <v>37</v>
      </c>
      <c r="E22" s="54"/>
      <c r="F22" s="49" t="d">
        <f>DATE(2026,3,31)</f>
        <v>2026-03-31</v>
      </c>
      <c r="G22" s="50">
        <v>3</v>
      </c>
      <c r="H22" s="53"/>
      <c r="I22" s="55" t="str">
        <f ca="1">IF(AND($C22="Goal",I$7&gt;=$F22,I$7&lt;=$F22+$G22-1),2,IF(AND($C22="Milestone",I$7&gt;=$F22,I$7&lt;=$F22+$G22-1),1,""))</f>
        <v/>
      </c>
      <c r="J22" s="55" t="str">
        <f t="shared" ca="1" si="12"/>
        <v/>
      </c>
      <c r="K22" s="55" t="str">
        <f t="shared" ca="1" si="12"/>
        <v/>
      </c>
      <c r="L22" s="55" t="str">
        <f t="shared" ca="1" si="12"/>
        <v/>
      </c>
      <c r="M22" s="55" t="str">
        <f t="shared" ca="1" si="12"/>
        <v/>
      </c>
      <c r="N22" s="55" t="str">
        <f t="shared" ca="1" si="12"/>
        <v/>
      </c>
      <c r="O22" s="55" t="str">
        <f t="shared" ca="1" si="12"/>
        <v/>
      </c>
      <c r="P22" s="55" t="str">
        <f t="shared" ca="1" si="12"/>
        <v/>
      </c>
      <c r="Q22" s="55" t="str">
        <f t="shared" ca="1" si="12"/>
        <v/>
      </c>
      <c r="R22" s="55" t="str">
        <f t="shared" ca="1" si="12"/>
        <v/>
      </c>
      <c r="S22" s="55" t="str">
        <f t="shared" ca="1" si="18"/>
        <v/>
      </c>
      <c r="T22" s="55" t="str">
        <f t="shared" ca="1" si="13"/>
        <v/>
      </c>
      <c r="U22" s="55" t="str">
        <f t="shared" ca="1" si="13"/>
        <v/>
      </c>
      <c r="V22" s="55" t="str">
        <f t="shared" ca="1" si="19"/>
        <v/>
      </c>
      <c r="W22" s="55" t="str">
        <f t="shared" ca="1" si="19"/>
        <v/>
      </c>
      <c r="X22" s="55" t="str">
        <f t="shared" ca="1" si="20"/>
        <v/>
      </c>
      <c r="Y22" s="55" t="str">
        <f t="shared" ca="1" si="20"/>
        <v/>
      </c>
      <c r="Z22" s="55" t="str">
        <f t="shared" ca="1" si="22"/>
        <v/>
      </c>
      <c r="AA22" s="55" t="str">
        <f t="shared" ca="1" si="22"/>
        <v/>
      </c>
      <c r="AB22" s="55" t="str">
        <f t="shared" ca="1" si="22"/>
        <v/>
      </c>
      <c r="AC22" s="55" t="str">
        <f t="shared" ca="1" si="22"/>
        <v/>
      </c>
      <c r="AD22" s="55" t="str">
        <f t="shared" ca="1" si="22"/>
        <v/>
      </c>
      <c r="AE22" s="55" t="str">
        <f t="shared" ca="1" si="22"/>
        <v/>
      </c>
      <c r="AF22" s="55" t="str">
        <f t="shared" ca="1" si="22"/>
        <v/>
      </c>
      <c r="AG22" s="55" t="str">
        <f ca="1">IF(AND($C22="Goal",AG$7&gt;=$F22,AG$7&lt;=$F22+$G22-1),2,IF(AND($C22="Milestone",AG$7&gt;=$F22,AG$7&lt;=$F22+$G22-1),1,""))</f>
        <v/>
      </c>
      <c r="AH22" s="55" t="str">
        <f t="shared" ca="1" si="23"/>
        <v/>
      </c>
      <c r="AI22" s="55" t="str">
        <f t="shared" ca="1" si="23"/>
        <v/>
      </c>
      <c r="AJ22" s="55" t="str">
        <f t="shared" ca="1" si="23"/>
        <v/>
      </c>
      <c r="AK22" s="55" t="str">
        <f t="shared" ca="1" si="23"/>
        <v/>
      </c>
      <c r="AL22" s="55" t="str">
        <f t="shared" ca="1" si="23"/>
        <v/>
      </c>
      <c r="AM22" s="55" t="str">
        <f t="shared" ca="1" si="23"/>
        <v/>
      </c>
      <c r="AN22" s="55" t="str">
        <f t="shared" ca="1" si="23"/>
        <v/>
      </c>
      <c r="AO22" s="55" t="str">
        <f t="shared" ca="1" si="23"/>
        <v/>
      </c>
      <c r="AP22" s="55" t="str">
        <f t="shared" ca="1" si="23"/>
        <v/>
      </c>
      <c r="AQ22" s="55" t="str">
        <f t="shared" ca="1" si="23"/>
        <v/>
      </c>
      <c r="AR22" s="55" t="str">
        <f t="shared" ca="1" si="24"/>
        <v/>
      </c>
      <c r="AS22" s="73" t="str">
        <f t="shared" ca="1" si="24"/>
        <v/>
      </c>
      <c r="AT22" s="73" t="str">
        <f t="shared" ca="1" si="24"/>
        <v/>
      </c>
      <c r="AU22" s="73" t="str">
        <f t="shared" ca="1" si="24"/>
        <v/>
      </c>
      <c r="AV22" s="55" t="str">
        <f t="shared" ca="1" si="24"/>
        <v/>
      </c>
      <c r="AW22" s="55" t="str">
        <f t="shared" ca="1" si="24"/>
        <v/>
      </c>
      <c r="AX22" s="55" t="str">
        <f t="shared" ca="1" si="24"/>
        <v/>
      </c>
      <c r="AY22" s="55" t="str">
        <f t="shared" ca="1" si="24"/>
        <v/>
      </c>
      <c r="AZ22" s="55" t="str">
        <f t="shared" ca="1" si="24"/>
        <v/>
      </c>
      <c r="BA22" s="55" t="str">
        <f t="shared" ca="1" si="24"/>
        <v/>
      </c>
      <c r="BB22" s="55" t="str">
        <f t="shared" ca="1" si="25"/>
        <v/>
      </c>
      <c r="BC22" s="55" t="str">
        <f t="shared" ca="1" si="25"/>
        <v/>
      </c>
      <c r="BD22" s="55" t="str">
        <f t="shared" ca="1" si="25"/>
        <v/>
      </c>
      <c r="BE22" s="55" t="str">
        <f t="shared" ca="1" si="25"/>
        <v/>
      </c>
      <c r="BF22" s="55" t="str">
        <f t="shared" ca="1" si="25"/>
        <v/>
      </c>
      <c r="BG22" s="55" t="str">
        <f t="shared" ca="1" si="25"/>
        <v/>
      </c>
      <c r="BH22" s="55" t="str">
        <f t="shared" ca="1" si="25"/>
        <v/>
      </c>
      <c r="BI22" s="55" t="str">
        <f t="shared" ca="1" si="25"/>
        <v/>
      </c>
      <c r="BJ22" s="55" t="str">
        <f t="shared" ca="1" si="25"/>
        <v/>
      </c>
      <c r="BK22" s="55" t="str">
        <f t="shared" ca="1" si="25"/>
        <v/>
      </c>
      <c r="BL22" s="55" t="str">
        <f t="shared" ca="1" si="25"/>
        <v/>
      </c>
    </row>
    <row r="23" spans="1:68" s="18" customFormat="1" ht="39.75" customHeight="1">
      <c r="A23" s="13"/>
      <c r="B23" s="70" t="s">
        <v>41</v>
      </c>
      <c r="C23" s="53" t="s">
        <v>33</v>
      </c>
      <c r="D23" s="53"/>
      <c r="E23" s="54"/>
      <c r="F23" s="49"/>
      <c r="G23" s="50">
        <v>19</v>
      </c>
      <c r="H23" s="53"/>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row>
    <row r="24" spans="1:68" s="18" customFormat="1" ht="39.75" customHeight="1">
      <c r="A24" s="13"/>
      <c r="B24" s="64" t="s">
        <v>42</v>
      </c>
      <c r="C24" s="53"/>
      <c r="D24" s="53"/>
      <c r="E24" s="54"/>
      <c r="F24" s="49"/>
      <c r="G24" s="50"/>
      <c r="H24" s="53"/>
      <c r="I24" s="55" t="str">
        <f t="shared" ref="I24:R30" ca="1" si="26">IF(AND($C24="Goal",I$7&gt;=$F24,I$7&lt;=$F24+$G24-1),2,IF(AND($C24="Milestone",I$7&gt;=$F24,I$7&lt;=$F24+$G24-1),1,""))</f>
        <v/>
      </c>
      <c r="J24" s="55" t="str">
        <f t="shared" ca="1" si="26"/>
        <v/>
      </c>
      <c r="K24" s="55" t="str">
        <f t="shared" ca="1" si="26"/>
        <v/>
      </c>
      <c r="L24" s="55" t="str">
        <f t="shared" ca="1" si="26"/>
        <v/>
      </c>
      <c r="M24" s="55" t="str">
        <f t="shared" ca="1" si="26"/>
        <v/>
      </c>
      <c r="N24" s="55" t="str">
        <f t="shared" ca="1" si="26"/>
        <v/>
      </c>
      <c r="O24" s="55" t="str">
        <f t="shared" ca="1" si="26"/>
        <v/>
      </c>
      <c r="P24" s="55" t="str">
        <f t="shared" ca="1" si="26"/>
        <v/>
      </c>
      <c r="Q24" s="55" t="str">
        <f t="shared" ca="1" si="26"/>
        <v/>
      </c>
      <c r="R24" s="55" t="str">
        <f t="shared" ca="1" si="26"/>
        <v/>
      </c>
      <c r="S24" s="55" t="str">
        <f t="shared" ref="S24:AB30" ca="1" si="27">IF(AND($C24="Goal",S$7&gt;=$F24,S$7&lt;=$F24+$G24-1),2,IF(AND($C24="Milestone",S$7&gt;=$F24,S$7&lt;=$F24+$G24-1),1,""))</f>
        <v/>
      </c>
      <c r="T24" s="55" t="str">
        <f t="shared" ca="1" si="27"/>
        <v/>
      </c>
      <c r="U24" s="55" t="str">
        <f t="shared" ca="1" si="27"/>
        <v/>
      </c>
      <c r="V24" s="55" t="str">
        <f t="shared" ca="1" si="27"/>
        <v/>
      </c>
      <c r="W24" s="55" t="str">
        <f t="shared" ca="1" si="27"/>
        <v/>
      </c>
      <c r="X24" s="55" t="str">
        <f t="shared" ca="1" si="27"/>
        <v/>
      </c>
      <c r="Y24" s="55" t="str">
        <f t="shared" ca="1" si="27"/>
        <v/>
      </c>
      <c r="Z24" s="55" t="str">
        <f t="shared" ca="1" si="27"/>
        <v/>
      </c>
      <c r="AA24" s="55" t="str">
        <f t="shared" ca="1" si="27"/>
        <v/>
      </c>
      <c r="AB24" s="55" t="str">
        <f t="shared" ca="1" si="27"/>
        <v/>
      </c>
      <c r="AC24" s="55" t="str">
        <f t="shared" ref="AC24:AL30" ca="1" si="28">IF(AND($C24="Goal",AC$7&gt;=$F24,AC$7&lt;=$F24+$G24-1),2,IF(AND($C24="Milestone",AC$7&gt;=$F24,AC$7&lt;=$F24+$G24-1),1,""))</f>
        <v/>
      </c>
      <c r="AD24" s="55" t="str">
        <f t="shared" ca="1" si="28"/>
        <v/>
      </c>
      <c r="AE24" s="55" t="str">
        <f t="shared" ca="1" si="28"/>
        <v/>
      </c>
      <c r="AF24" s="55" t="str">
        <f t="shared" ca="1" si="28"/>
        <v/>
      </c>
      <c r="AG24" s="55" t="str">
        <f t="shared" ca="1" si="28"/>
        <v/>
      </c>
      <c r="AH24" s="55" t="str">
        <f t="shared" ca="1" si="28"/>
        <v/>
      </c>
      <c r="AI24" s="55" t="str">
        <f t="shared" ca="1" si="28"/>
        <v/>
      </c>
      <c r="AJ24" s="55" t="str">
        <f t="shared" ca="1" si="28"/>
        <v/>
      </c>
      <c r="AK24" s="55" t="str">
        <f t="shared" ca="1" si="28"/>
        <v/>
      </c>
      <c r="AL24" s="55" t="str">
        <f t="shared" ca="1" si="28"/>
        <v/>
      </c>
      <c r="AM24" s="55" t="str">
        <f t="shared" ref="AM24:AV30" ca="1" si="29">IF(AND($C24="Goal",AM$7&gt;=$F24,AM$7&lt;=$F24+$G24-1),2,IF(AND($C24="Milestone",AM$7&gt;=$F24,AM$7&lt;=$F24+$G24-1),1,""))</f>
        <v/>
      </c>
      <c r="AN24" s="55" t="str">
        <f t="shared" ca="1" si="29"/>
        <v/>
      </c>
      <c r="AO24" s="55" t="str">
        <f t="shared" ca="1" si="29"/>
        <v/>
      </c>
      <c r="AP24" s="55" t="str">
        <f t="shared" ca="1" si="29"/>
        <v/>
      </c>
      <c r="AQ24" s="55" t="str">
        <f t="shared" ca="1" si="29"/>
        <v/>
      </c>
      <c r="AR24" s="55" t="str">
        <f t="shared" ca="1" si="29"/>
        <v/>
      </c>
      <c r="AS24" s="55" t="str">
        <f t="shared" ca="1" si="29"/>
        <v/>
      </c>
      <c r="AT24" s="55" t="str">
        <f t="shared" ca="1" si="29"/>
        <v/>
      </c>
      <c r="AU24" s="55" t="str">
        <f t="shared" ca="1" si="29"/>
        <v/>
      </c>
      <c r="AV24" s="55" t="str">
        <f t="shared" ca="1" si="29"/>
        <v/>
      </c>
      <c r="AW24" s="55" t="str">
        <f t="shared" ref="AW24:BF30" ca="1" si="30">IF(AND($C24="Goal",AW$7&gt;=$F24,AW$7&lt;=$F24+$G24-1),2,IF(AND($C24="Milestone",AW$7&gt;=$F24,AW$7&lt;=$F24+$G24-1),1,""))</f>
        <v/>
      </c>
      <c r="AX24" s="55" t="str">
        <f t="shared" ca="1" si="30"/>
        <v/>
      </c>
      <c r="AY24" s="55" t="str">
        <f t="shared" ca="1" si="30"/>
        <v/>
      </c>
      <c r="AZ24" s="55" t="str">
        <f t="shared" ca="1" si="30"/>
        <v/>
      </c>
      <c r="BA24" s="55" t="str">
        <f t="shared" ca="1" si="30"/>
        <v/>
      </c>
      <c r="BB24" s="55" t="str">
        <f t="shared" ca="1" si="30"/>
        <v/>
      </c>
      <c r="BC24" s="55" t="str">
        <f t="shared" ca="1" si="30"/>
        <v/>
      </c>
      <c r="BD24" s="55" t="str">
        <f t="shared" ca="1" si="30"/>
        <v/>
      </c>
      <c r="BE24" s="55" t="str">
        <f t="shared" ca="1" si="30"/>
        <v/>
      </c>
      <c r="BF24" s="55" t="str">
        <f t="shared" ca="1" si="30"/>
        <v/>
      </c>
      <c r="BG24" s="55" t="str">
        <f t="shared" ref="BG24:BL30" ca="1" si="31">IF(AND($C24="Goal",BG$7&gt;=$F24,BG$7&lt;=$F24+$G24-1),2,IF(AND($C24="Milestone",BG$7&gt;=$F24,BG$7&lt;=$F24+$G24-1),1,""))</f>
        <v/>
      </c>
      <c r="BH24" s="55" t="str">
        <f t="shared" ca="1" si="31"/>
        <v/>
      </c>
      <c r="BI24" s="55" t="str">
        <f t="shared" ca="1" si="31"/>
        <v/>
      </c>
      <c r="BJ24" s="55" t="str">
        <f t="shared" ca="1" si="31"/>
        <v/>
      </c>
      <c r="BK24" s="55" t="str">
        <f t="shared" ca="1" si="31"/>
        <v/>
      </c>
      <c r="BL24" s="55" t="str">
        <f t="shared" ca="1" si="31"/>
        <v/>
      </c>
    </row>
    <row r="25" spans="1:68" s="18" customFormat="1" ht="39.75" customHeight="1">
      <c r="A25" s="13"/>
      <c r="B25" s="70" t="s">
        <v>43</v>
      </c>
      <c r="C25" s="53"/>
      <c r="D25" s="53"/>
      <c r="E25" s="54"/>
      <c r="F25" s="49" t="d">
        <f>DATE(2026,4,5)</f>
        <v>2026-04-05</v>
      </c>
      <c r="G25" s="50">
        <v>4</v>
      </c>
      <c r="H25" s="53"/>
      <c r="I25" s="55" t="str">
        <f t="shared" ca="1" si="26"/>
        <v/>
      </c>
      <c r="J25" s="55" t="str">
        <f t="shared" ca="1" si="26"/>
        <v/>
      </c>
      <c r="K25" s="55" t="str">
        <f t="shared" ca="1" si="26"/>
        <v/>
      </c>
      <c r="L25" s="55" t="str">
        <f t="shared" ca="1" si="26"/>
        <v/>
      </c>
      <c r="M25" s="55" t="str">
        <f t="shared" ca="1" si="26"/>
        <v/>
      </c>
      <c r="N25" s="55" t="str">
        <f t="shared" ca="1" si="26"/>
        <v/>
      </c>
      <c r="O25" s="55" t="str">
        <f t="shared" ca="1" si="26"/>
        <v/>
      </c>
      <c r="P25" s="55" t="str">
        <f t="shared" ca="1" si="26"/>
        <v/>
      </c>
      <c r="Q25" s="55" t="str">
        <f t="shared" ca="1" si="26"/>
        <v/>
      </c>
      <c r="R25" s="55" t="str">
        <f t="shared" ca="1" si="26"/>
        <v/>
      </c>
      <c r="S25" s="55" t="str">
        <f t="shared" ca="1" si="27"/>
        <v/>
      </c>
      <c r="T25" s="55" t="str">
        <f t="shared" ca="1" si="27"/>
        <v/>
      </c>
      <c r="U25" s="55" t="str">
        <f t="shared" ca="1" si="27"/>
        <v/>
      </c>
      <c r="V25" s="55" t="str">
        <f t="shared" ca="1" si="27"/>
        <v/>
      </c>
      <c r="W25" s="55" t="str">
        <f t="shared" ca="1" si="27"/>
        <v/>
      </c>
      <c r="X25" s="55" t="str">
        <f t="shared" ca="1" si="27"/>
        <v/>
      </c>
      <c r="Y25" s="55" t="str">
        <f t="shared" ca="1" si="27"/>
        <v/>
      </c>
      <c r="Z25" s="55" t="str">
        <f t="shared" ca="1" si="27"/>
        <v/>
      </c>
      <c r="AA25" s="55" t="str">
        <f t="shared" ca="1" si="27"/>
        <v/>
      </c>
      <c r="AB25" s="55" t="str">
        <f t="shared" ca="1" si="27"/>
        <v/>
      </c>
      <c r="AC25" s="55" t="str">
        <f t="shared" ca="1" si="28"/>
        <v/>
      </c>
      <c r="AD25" s="55" t="str">
        <f t="shared" ca="1" si="28"/>
        <v/>
      </c>
      <c r="AE25" s="55" t="str">
        <f t="shared" ca="1" si="28"/>
        <v/>
      </c>
      <c r="AF25" s="55" t="str">
        <f t="shared" ca="1" si="28"/>
        <v/>
      </c>
      <c r="AG25" s="55" t="str">
        <f t="shared" ca="1" si="28"/>
        <v/>
      </c>
      <c r="AH25" s="55" t="str">
        <f t="shared" ca="1" si="28"/>
        <v/>
      </c>
      <c r="AI25" s="55" t="str">
        <f t="shared" ca="1" si="28"/>
        <v/>
      </c>
      <c r="AJ25" s="55" t="str">
        <f t="shared" ca="1" si="28"/>
        <v/>
      </c>
      <c r="AK25" s="55" t="str">
        <f t="shared" ca="1" si="28"/>
        <v/>
      </c>
      <c r="AL25" s="55" t="str">
        <f t="shared" ca="1" si="28"/>
        <v/>
      </c>
      <c r="AM25" s="55" t="str">
        <f t="shared" ca="1" si="29"/>
        <v/>
      </c>
      <c r="AN25" s="55" t="str">
        <f t="shared" ca="1" si="29"/>
        <v/>
      </c>
      <c r="AO25" s="55" t="str">
        <f t="shared" ca="1" si="29"/>
        <v/>
      </c>
      <c r="AP25" s="55" t="str">
        <f t="shared" ca="1" si="29"/>
        <v/>
      </c>
      <c r="AQ25" s="55" t="str">
        <f t="shared" ca="1" si="29"/>
        <v/>
      </c>
      <c r="AR25" s="55" t="str">
        <f t="shared" ca="1" si="29"/>
        <v/>
      </c>
      <c r="AS25" s="55" t="str">
        <f t="shared" ca="1" si="29"/>
        <v/>
      </c>
      <c r="AT25" s="55" t="str">
        <f t="shared" ca="1" si="29"/>
        <v/>
      </c>
      <c r="AU25" s="55" t="str">
        <f t="shared" ca="1" si="29"/>
        <v/>
      </c>
      <c r="AV25" s="55" t="str">
        <f t="shared" ca="1" si="29"/>
        <v/>
      </c>
      <c r="AW25" s="55" t="str">
        <f t="shared" ca="1" si="30"/>
        <v/>
      </c>
      <c r="AX25" s="58" t="str">
        <f t="shared" ca="1" si="30"/>
        <v/>
      </c>
      <c r="AY25" s="58" t="str">
        <f t="shared" ca="1" si="30"/>
        <v/>
      </c>
      <c r="AZ25" s="58" t="str">
        <f t="shared" ca="1" si="30"/>
        <v/>
      </c>
      <c r="BA25" s="58" t="str">
        <f t="shared" ca="1" si="30"/>
        <v/>
      </c>
      <c r="BB25" s="62" t="str">
        <f t="shared" ca="1" si="30"/>
        <v/>
      </c>
      <c r="BC25" s="62" t="str">
        <f t="shared" ca="1" si="30"/>
        <v/>
      </c>
      <c r="BD25" s="62" t="str">
        <f t="shared" ca="1" si="30"/>
        <v/>
      </c>
      <c r="BE25" s="55" t="str">
        <f t="shared" ca="1" si="30"/>
        <v/>
      </c>
      <c r="BF25" s="55" t="str">
        <f t="shared" ca="1" si="30"/>
        <v/>
      </c>
      <c r="BG25" s="55" t="str">
        <f t="shared" ca="1" si="31"/>
        <v/>
      </c>
      <c r="BH25" s="55" t="str">
        <f t="shared" ca="1" si="31"/>
        <v/>
      </c>
      <c r="BI25" s="55" t="str">
        <f t="shared" ca="1" si="31"/>
        <v/>
      </c>
      <c r="BJ25" s="55" t="str">
        <f t="shared" ca="1" si="31"/>
        <v/>
      </c>
      <c r="BK25" s="55" t="str">
        <f t="shared" ca="1" si="31"/>
        <v/>
      </c>
      <c r="BL25" s="55" t="str">
        <f t="shared" ca="1" si="31"/>
        <v/>
      </c>
    </row>
    <row r="26" spans="1:68" s="18" customFormat="1" ht="39.75" customHeight="1">
      <c r="A26" s="13"/>
      <c r="B26" s="70" t="s">
        <v>44</v>
      </c>
      <c r="C26" s="53"/>
      <c r="D26" s="53"/>
      <c r="E26" s="54"/>
      <c r="F26" s="49" t="d">
        <f>DATE(2026,4,9)</f>
        <v>2026-04-09</v>
      </c>
      <c r="G26" s="50">
        <v>3</v>
      </c>
      <c r="H26" s="53"/>
      <c r="I26" s="55" t="str">
        <f t="shared" ca="1" si="26"/>
        <v/>
      </c>
      <c r="J26" s="55" t="str">
        <f t="shared" ca="1" si="26"/>
        <v/>
      </c>
      <c r="K26" s="55" t="str">
        <f t="shared" ca="1" si="26"/>
        <v/>
      </c>
      <c r="L26" s="55" t="str">
        <f t="shared" ca="1" si="26"/>
        <v/>
      </c>
      <c r="M26" s="55" t="str">
        <f t="shared" ca="1" si="26"/>
        <v/>
      </c>
      <c r="N26" s="55" t="str">
        <f t="shared" ca="1" si="26"/>
        <v/>
      </c>
      <c r="O26" s="55" t="str">
        <f t="shared" ca="1" si="26"/>
        <v/>
      </c>
      <c r="P26" s="55" t="str">
        <f t="shared" ca="1" si="26"/>
        <v/>
      </c>
      <c r="Q26" s="55" t="str">
        <f t="shared" ca="1" si="26"/>
        <v/>
      </c>
      <c r="R26" s="55" t="str">
        <f t="shared" ca="1" si="26"/>
        <v/>
      </c>
      <c r="S26" s="55" t="str">
        <f t="shared" ca="1" si="27"/>
        <v/>
      </c>
      <c r="T26" s="55" t="str">
        <f t="shared" ca="1" si="27"/>
        <v/>
      </c>
      <c r="U26" s="55" t="str">
        <f t="shared" ca="1" si="27"/>
        <v/>
      </c>
      <c r="V26" s="55" t="str">
        <f t="shared" ca="1" si="27"/>
        <v/>
      </c>
      <c r="W26" s="55" t="str">
        <f t="shared" ca="1" si="27"/>
        <v/>
      </c>
      <c r="X26" s="55" t="str">
        <f t="shared" ca="1" si="27"/>
        <v/>
      </c>
      <c r="Y26" s="55" t="str">
        <f t="shared" ca="1" si="27"/>
        <v/>
      </c>
      <c r="Z26" s="55" t="str">
        <f t="shared" ca="1" si="27"/>
        <v/>
      </c>
      <c r="AA26" s="55" t="str">
        <f t="shared" ca="1" si="27"/>
        <v/>
      </c>
      <c r="AB26" s="55" t="str">
        <f t="shared" ca="1" si="27"/>
        <v/>
      </c>
      <c r="AC26" s="55" t="str">
        <f t="shared" ca="1" si="28"/>
        <v/>
      </c>
      <c r="AD26" s="55" t="str">
        <f t="shared" ca="1" si="28"/>
        <v/>
      </c>
      <c r="AE26" s="55" t="str">
        <f t="shared" ca="1" si="28"/>
        <v/>
      </c>
      <c r="AF26" s="55" t="str">
        <f t="shared" ca="1" si="28"/>
        <v/>
      </c>
      <c r="AG26" s="55" t="str">
        <f t="shared" ca="1" si="28"/>
        <v/>
      </c>
      <c r="AH26" s="55" t="str">
        <f t="shared" ca="1" si="28"/>
        <v/>
      </c>
      <c r="AI26" s="55" t="str">
        <f t="shared" ca="1" si="28"/>
        <v/>
      </c>
      <c r="AJ26" s="55" t="str">
        <f t="shared" ca="1" si="28"/>
        <v/>
      </c>
      <c r="AK26" s="55" t="str">
        <f t="shared" ca="1" si="28"/>
        <v/>
      </c>
      <c r="AL26" s="55" t="str">
        <f t="shared" ca="1" si="28"/>
        <v/>
      </c>
      <c r="AM26" s="55" t="str">
        <f t="shared" ca="1" si="29"/>
        <v/>
      </c>
      <c r="AN26" s="55" t="str">
        <f t="shared" ca="1" si="29"/>
        <v/>
      </c>
      <c r="AO26" s="55" t="str">
        <f t="shared" ca="1" si="29"/>
        <v/>
      </c>
      <c r="AP26" s="55" t="str">
        <f t="shared" ca="1" si="29"/>
        <v/>
      </c>
      <c r="AQ26" s="55" t="str">
        <f t="shared" ca="1" si="29"/>
        <v/>
      </c>
      <c r="AR26" s="55" t="str">
        <f t="shared" ca="1" si="29"/>
        <v/>
      </c>
      <c r="AS26" s="55" t="str">
        <f t="shared" ca="1" si="29"/>
        <v/>
      </c>
      <c r="AT26" s="55" t="str">
        <f t="shared" ca="1" si="29"/>
        <v/>
      </c>
      <c r="AU26" s="55" t="str">
        <f t="shared" ca="1" si="29"/>
        <v/>
      </c>
      <c r="AV26" s="55" t="str">
        <f t="shared" ca="1" si="29"/>
        <v/>
      </c>
      <c r="AW26" s="55" t="str">
        <f t="shared" ca="1" si="30"/>
        <v/>
      </c>
      <c r="AX26" s="55" t="str">
        <f t="shared" ca="1" si="30"/>
        <v/>
      </c>
      <c r="AY26" s="55" t="str">
        <f t="shared" ca="1" si="30"/>
        <v/>
      </c>
      <c r="AZ26" s="55" t="str">
        <f t="shared" ca="1" si="30"/>
        <v/>
      </c>
      <c r="BA26" s="55" t="str">
        <f t="shared" ca="1" si="30"/>
        <v/>
      </c>
      <c r="BB26" s="58" t="str">
        <f t="shared" ca="1" si="30"/>
        <v/>
      </c>
      <c r="BC26" s="58" t="str">
        <f t="shared" ca="1" si="30"/>
        <v/>
      </c>
      <c r="BD26" s="58" t="str">
        <f t="shared" ca="1" si="30"/>
        <v/>
      </c>
      <c r="BE26" s="55" t="str">
        <f t="shared" ca="1" si="30"/>
        <v/>
      </c>
      <c r="BF26" s="55" t="str">
        <f t="shared" ca="1" si="30"/>
        <v/>
      </c>
      <c r="BG26" s="55" t="str">
        <f t="shared" ca="1" si="31"/>
        <v/>
      </c>
      <c r="BH26" s="55" t="str">
        <f t="shared" ca="1" si="31"/>
        <v/>
      </c>
      <c r="BI26" s="55" t="str">
        <f t="shared" ca="1" si="31"/>
        <v/>
      </c>
      <c r="BJ26" s="55" t="str">
        <f t="shared" ca="1" si="31"/>
        <v/>
      </c>
      <c r="BK26" s="55" t="str">
        <f t="shared" ca="1" si="31"/>
        <v/>
      </c>
      <c r="BL26" s="55" t="str">
        <f t="shared" ca="1" si="31"/>
        <v/>
      </c>
    </row>
    <row r="27" spans="1:68" s="18" customFormat="1" ht="39.75" customHeight="1">
      <c r="A27" s="13"/>
      <c r="B27" s="70" t="s">
        <v>45</v>
      </c>
      <c r="C27" s="53" t="s">
        <v>46</v>
      </c>
      <c r="D27" s="53" t="s">
        <v>30</v>
      </c>
      <c r="E27" s="54"/>
      <c r="F27" s="49" t="d">
        <f>DATE(2026,4,12)</f>
        <v>2026-04-12</v>
      </c>
      <c r="G27" s="50">
        <v>3</v>
      </c>
      <c r="H27" s="53"/>
      <c r="I27" s="55" t="str">
        <f t="shared" ca="1" si="26"/>
        <v/>
      </c>
      <c r="J27" s="55" t="str">
        <f t="shared" ca="1" si="26"/>
        <v/>
      </c>
      <c r="K27" s="55" t="str">
        <f t="shared" ca="1" si="26"/>
        <v/>
      </c>
      <c r="L27" s="55" t="str">
        <f t="shared" ca="1" si="26"/>
        <v/>
      </c>
      <c r="M27" s="55" t="str">
        <f t="shared" ca="1" si="26"/>
        <v/>
      </c>
      <c r="N27" s="55" t="str">
        <f t="shared" ca="1" si="26"/>
        <v/>
      </c>
      <c r="O27" s="55" t="str">
        <f t="shared" ca="1" si="26"/>
        <v/>
      </c>
      <c r="P27" s="55" t="str">
        <f t="shared" ca="1" si="26"/>
        <v/>
      </c>
      <c r="Q27" s="55" t="str">
        <f t="shared" ca="1" si="26"/>
        <v/>
      </c>
      <c r="R27" s="55" t="str">
        <f t="shared" ca="1" si="26"/>
        <v/>
      </c>
      <c r="S27" s="55" t="str">
        <f t="shared" ca="1" si="27"/>
        <v/>
      </c>
      <c r="T27" s="55" t="str">
        <f t="shared" ca="1" si="27"/>
        <v/>
      </c>
      <c r="U27" s="55" t="str">
        <f t="shared" ca="1" si="27"/>
        <v/>
      </c>
      <c r="V27" s="55" t="str">
        <f t="shared" ca="1" si="27"/>
        <v/>
      </c>
      <c r="W27" s="55" t="str">
        <f t="shared" ca="1" si="27"/>
        <v/>
      </c>
      <c r="X27" s="55" t="str">
        <f t="shared" ca="1" si="27"/>
        <v/>
      </c>
      <c r="Y27" s="55" t="str">
        <f t="shared" ca="1" si="27"/>
        <v/>
      </c>
      <c r="Z27" s="55" t="str">
        <f t="shared" ca="1" si="27"/>
        <v/>
      </c>
      <c r="AA27" s="55" t="str">
        <f t="shared" ca="1" si="27"/>
        <v/>
      </c>
      <c r="AB27" s="55" t="str">
        <f t="shared" ca="1" si="27"/>
        <v/>
      </c>
      <c r="AC27" s="55" t="str">
        <f t="shared" ca="1" si="28"/>
        <v/>
      </c>
      <c r="AD27" s="55" t="str">
        <f t="shared" ca="1" si="28"/>
        <v/>
      </c>
      <c r="AE27" s="55" t="str">
        <f t="shared" ca="1" si="28"/>
        <v/>
      </c>
      <c r="AF27" s="55" t="str">
        <f t="shared" ca="1" si="28"/>
        <v/>
      </c>
      <c r="AG27" s="55" t="str">
        <f t="shared" ca="1" si="28"/>
        <v/>
      </c>
      <c r="AH27" s="55" t="str">
        <f t="shared" ca="1" si="28"/>
        <v/>
      </c>
      <c r="AI27" s="55" t="str">
        <f t="shared" ca="1" si="28"/>
        <v/>
      </c>
      <c r="AJ27" s="55" t="str">
        <f t="shared" ca="1" si="28"/>
        <v/>
      </c>
      <c r="AK27" s="55" t="str">
        <f t="shared" ca="1" si="28"/>
        <v/>
      </c>
      <c r="AL27" s="55" t="str">
        <f t="shared" ca="1" si="28"/>
        <v/>
      </c>
      <c r="AM27" s="55" t="str">
        <f t="shared" ca="1" si="29"/>
        <v/>
      </c>
      <c r="AN27" s="55" t="str">
        <f t="shared" ca="1" si="29"/>
        <v/>
      </c>
      <c r="AO27" s="55" t="str">
        <f t="shared" ca="1" si="29"/>
        <v/>
      </c>
      <c r="AP27" s="55" t="str">
        <f t="shared" ca="1" si="29"/>
        <v/>
      </c>
      <c r="AQ27" s="55" t="str">
        <f t="shared" ca="1" si="29"/>
        <v/>
      </c>
      <c r="AR27" s="55" t="str">
        <f t="shared" ca="1" si="29"/>
        <v/>
      </c>
      <c r="AS27" s="55" t="str">
        <f t="shared" ca="1" si="29"/>
        <v/>
      </c>
      <c r="AT27" s="55" t="str">
        <f t="shared" ca="1" si="29"/>
        <v/>
      </c>
      <c r="AU27" s="55" t="str">
        <f t="shared" ca="1" si="29"/>
        <v/>
      </c>
      <c r="AV27" s="55" t="str">
        <f t="shared" ca="1" si="29"/>
        <v/>
      </c>
      <c r="AW27" s="55" t="str">
        <f t="shared" ca="1" si="30"/>
        <v/>
      </c>
      <c r="AX27" s="55" t="str">
        <f t="shared" ca="1" si="30"/>
        <v/>
      </c>
      <c r="AY27" s="55" t="str">
        <f t="shared" ca="1" si="30"/>
        <v/>
      </c>
      <c r="AZ27" s="55" t="str">
        <f t="shared" ca="1" si="30"/>
        <v/>
      </c>
      <c r="BA27" s="55" t="str">
        <f t="shared" ca="1" si="30"/>
        <v/>
      </c>
      <c r="BB27" s="55" t="str">
        <f t="shared" ca="1" si="30"/>
        <v/>
      </c>
      <c r="BC27" s="55" t="str">
        <f t="shared" ca="1" si="30"/>
        <v/>
      </c>
      <c r="BD27" s="55" t="str">
        <f t="shared" ca="1" si="30"/>
        <v/>
      </c>
      <c r="BE27" s="74">
        <f t="shared" ca="1" si="30"/>
        <v>1</v>
      </c>
      <c r="BF27" s="74">
        <f t="shared" ca="1" si="30"/>
        <v>1</v>
      </c>
      <c r="BG27" s="74">
        <f t="shared" ca="1" si="31"/>
        <v>1</v>
      </c>
      <c r="BH27" s="55" t="str">
        <f t="shared" ca="1" si="31"/>
        <v/>
      </c>
      <c r="BI27" s="55" t="str">
        <f t="shared" ca="1" si="31"/>
        <v/>
      </c>
      <c r="BJ27" s="55" t="str">
        <f t="shared" ca="1" si="31"/>
        <v/>
      </c>
      <c r="BK27" s="55" t="str">
        <f t="shared" ca="1" si="31"/>
        <v/>
      </c>
      <c r="BL27" s="55" t="str">
        <f t="shared" ca="1" si="31"/>
        <v/>
      </c>
    </row>
    <row r="28" spans="1:68" s="18" customFormat="1" ht="39.75" customHeight="1">
      <c r="A28" s="13"/>
      <c r="B28" s="70" t="s">
        <v>47</v>
      </c>
      <c r="C28" s="53"/>
      <c r="D28" s="53"/>
      <c r="E28" s="54"/>
      <c r="F28" s="49" t="d">
        <f>DATE(2026,4,17)</f>
        <v>2026-04-17</v>
      </c>
      <c r="G28" s="50">
        <v>2</v>
      </c>
      <c r="H28" s="53"/>
      <c r="I28" s="55" t="str">
        <f t="shared" ca="1" si="26"/>
        <v/>
      </c>
      <c r="J28" s="55" t="str">
        <f t="shared" ca="1" si="26"/>
        <v/>
      </c>
      <c r="K28" s="55" t="str">
        <f t="shared" ca="1" si="26"/>
        <v/>
      </c>
      <c r="L28" s="55" t="str">
        <f t="shared" ca="1" si="26"/>
        <v/>
      </c>
      <c r="M28" s="55" t="str">
        <f t="shared" ca="1" si="26"/>
        <v/>
      </c>
      <c r="N28" s="55" t="str">
        <f t="shared" ca="1" si="26"/>
        <v/>
      </c>
      <c r="O28" s="55" t="str">
        <f t="shared" ca="1" si="26"/>
        <v/>
      </c>
      <c r="P28" s="55" t="str">
        <f t="shared" ca="1" si="26"/>
        <v/>
      </c>
      <c r="Q28" s="55" t="str">
        <f t="shared" ca="1" si="26"/>
        <v/>
      </c>
      <c r="R28" s="55" t="str">
        <f t="shared" ca="1" si="26"/>
        <v/>
      </c>
      <c r="S28" s="55" t="str">
        <f t="shared" ca="1" si="27"/>
        <v/>
      </c>
      <c r="T28" s="55" t="str">
        <f t="shared" ca="1" si="27"/>
        <v/>
      </c>
      <c r="U28" s="55" t="str">
        <f t="shared" ca="1" si="27"/>
        <v/>
      </c>
      <c r="V28" s="55" t="str">
        <f t="shared" ca="1" si="27"/>
        <v/>
      </c>
      <c r="W28" s="55" t="str">
        <f t="shared" ca="1" si="27"/>
        <v/>
      </c>
      <c r="X28" s="55" t="str">
        <f t="shared" ca="1" si="27"/>
        <v/>
      </c>
      <c r="Y28" s="55" t="str">
        <f t="shared" ca="1" si="27"/>
        <v/>
      </c>
      <c r="Z28" s="55" t="str">
        <f t="shared" ca="1" si="27"/>
        <v/>
      </c>
      <c r="AA28" s="55" t="str">
        <f t="shared" ca="1" si="27"/>
        <v/>
      </c>
      <c r="AB28" s="55" t="str">
        <f t="shared" ca="1" si="27"/>
        <v/>
      </c>
      <c r="AC28" s="55" t="str">
        <f t="shared" ca="1" si="28"/>
        <v/>
      </c>
      <c r="AD28" s="55" t="str">
        <f t="shared" ca="1" si="28"/>
        <v/>
      </c>
      <c r="AE28" s="55" t="str">
        <f t="shared" ca="1" si="28"/>
        <v/>
      </c>
      <c r="AF28" s="55" t="str">
        <f t="shared" ca="1" si="28"/>
        <v/>
      </c>
      <c r="AG28" s="55" t="str">
        <f t="shared" ca="1" si="28"/>
        <v/>
      </c>
      <c r="AH28" s="55" t="str">
        <f t="shared" ca="1" si="28"/>
        <v/>
      </c>
      <c r="AI28" s="55" t="str">
        <f t="shared" ca="1" si="28"/>
        <v/>
      </c>
      <c r="AJ28" s="55" t="str">
        <f t="shared" ca="1" si="28"/>
        <v/>
      </c>
      <c r="AK28" s="55" t="str">
        <f t="shared" ca="1" si="28"/>
        <v/>
      </c>
      <c r="AL28" s="55" t="str">
        <f t="shared" ca="1" si="28"/>
        <v/>
      </c>
      <c r="AM28" s="55" t="str">
        <f t="shared" ca="1" si="29"/>
        <v/>
      </c>
      <c r="AN28" s="55" t="str">
        <f t="shared" ca="1" si="29"/>
        <v/>
      </c>
      <c r="AO28" s="55" t="str">
        <f t="shared" ca="1" si="29"/>
        <v/>
      </c>
      <c r="AP28" s="55" t="str">
        <f t="shared" ca="1" si="29"/>
        <v/>
      </c>
      <c r="AQ28" s="55" t="str">
        <f t="shared" ca="1" si="29"/>
        <v/>
      </c>
      <c r="AR28" s="55" t="str">
        <f t="shared" ca="1" si="29"/>
        <v/>
      </c>
      <c r="AS28" s="55" t="str">
        <f t="shared" ca="1" si="29"/>
        <v/>
      </c>
      <c r="AT28" s="55" t="str">
        <f t="shared" ca="1" si="29"/>
        <v/>
      </c>
      <c r="AU28" s="55" t="str">
        <f t="shared" ca="1" si="29"/>
        <v/>
      </c>
      <c r="AV28" s="55" t="str">
        <f t="shared" ca="1" si="29"/>
        <v/>
      </c>
      <c r="AW28" s="55" t="str">
        <f t="shared" ca="1" si="30"/>
        <v/>
      </c>
      <c r="AX28" s="55" t="str">
        <f t="shared" ca="1" si="30"/>
        <v/>
      </c>
      <c r="AY28" s="55" t="str">
        <f t="shared" ca="1" si="30"/>
        <v/>
      </c>
      <c r="AZ28" s="55" t="str">
        <f t="shared" ca="1" si="30"/>
        <v/>
      </c>
      <c r="BA28" s="55" t="str">
        <f t="shared" ca="1" si="30"/>
        <v/>
      </c>
      <c r="BB28" s="55" t="str">
        <f t="shared" ca="1" si="30"/>
        <v/>
      </c>
      <c r="BC28" s="55" t="str">
        <f t="shared" ca="1" si="30"/>
        <v/>
      </c>
      <c r="BD28" s="55" t="str">
        <f t="shared" ca="1" si="30"/>
        <v/>
      </c>
      <c r="BE28" s="55" t="str">
        <f t="shared" ca="1" si="30"/>
        <v/>
      </c>
      <c r="BF28" s="55" t="str">
        <f t="shared" ca="1" si="30"/>
        <v/>
      </c>
      <c r="BG28" s="55" t="str">
        <f t="shared" ca="1" si="31"/>
        <v/>
      </c>
      <c r="BH28" s="75" t="str">
        <f t="shared" ca="1" si="31"/>
        <v/>
      </c>
      <c r="BI28" s="75" t="str">
        <f t="shared" ca="1" si="31"/>
        <v/>
      </c>
      <c r="BJ28" s="55" t="str">
        <f t="shared" ca="1" si="31"/>
        <v/>
      </c>
      <c r="BK28" s="55" t="str">
        <f t="shared" ca="1" si="31"/>
        <v/>
      </c>
      <c r="BL28" s="55" t="str">
        <f t="shared" ca="1" si="31"/>
        <v/>
      </c>
    </row>
    <row r="29" spans="1:68" s="18" customFormat="1" ht="39.75" customHeight="1">
      <c r="A29" s="13"/>
      <c r="B29" s="64" t="s">
        <v>48</v>
      </c>
      <c r="C29" s="53"/>
      <c r="D29" s="53"/>
      <c r="E29" s="54"/>
      <c r="F29" s="49"/>
      <c r="G29" s="50"/>
      <c r="H29" s="53"/>
      <c r="I29" s="55" t="str">
        <f t="shared" ca="1" si="26"/>
        <v/>
      </c>
      <c r="J29" s="55" t="str">
        <f t="shared" ca="1" si="26"/>
        <v/>
      </c>
      <c r="K29" s="55" t="str">
        <f t="shared" ca="1" si="26"/>
        <v/>
      </c>
      <c r="L29" s="55" t="str">
        <f t="shared" ca="1" si="26"/>
        <v/>
      </c>
      <c r="M29" s="55" t="str">
        <f t="shared" ca="1" si="26"/>
        <v/>
      </c>
      <c r="N29" s="55" t="str">
        <f t="shared" ca="1" si="26"/>
        <v/>
      </c>
      <c r="O29" s="55" t="str">
        <f t="shared" ca="1" si="26"/>
        <v/>
      </c>
      <c r="P29" s="55" t="str">
        <f t="shared" ca="1" si="26"/>
        <v/>
      </c>
      <c r="Q29" s="55" t="str">
        <f t="shared" ca="1" si="26"/>
        <v/>
      </c>
      <c r="R29" s="55" t="str">
        <f t="shared" ca="1" si="26"/>
        <v/>
      </c>
      <c r="S29" s="55" t="str">
        <f t="shared" ca="1" si="27"/>
        <v/>
      </c>
      <c r="T29" s="55" t="str">
        <f t="shared" ca="1" si="27"/>
        <v/>
      </c>
      <c r="U29" s="55" t="str">
        <f t="shared" ca="1" si="27"/>
        <v/>
      </c>
      <c r="V29" s="55" t="str">
        <f t="shared" ca="1" si="27"/>
        <v/>
      </c>
      <c r="W29" s="55" t="str">
        <f t="shared" ca="1" si="27"/>
        <v/>
      </c>
      <c r="X29" s="55" t="str">
        <f t="shared" ca="1" si="27"/>
        <v/>
      </c>
      <c r="Y29" s="55" t="str">
        <f t="shared" ca="1" si="27"/>
        <v/>
      </c>
      <c r="Z29" s="55" t="str">
        <f t="shared" ca="1" si="27"/>
        <v/>
      </c>
      <c r="AA29" s="55" t="str">
        <f t="shared" ca="1" si="27"/>
        <v/>
      </c>
      <c r="AB29" s="55" t="str">
        <f t="shared" ca="1" si="27"/>
        <v/>
      </c>
      <c r="AC29" s="55" t="str">
        <f t="shared" ca="1" si="28"/>
        <v/>
      </c>
      <c r="AD29" s="55" t="str">
        <f t="shared" ca="1" si="28"/>
        <v/>
      </c>
      <c r="AE29" s="55" t="str">
        <f t="shared" ca="1" si="28"/>
        <v/>
      </c>
      <c r="AF29" s="55" t="str">
        <f t="shared" ca="1" si="28"/>
        <v/>
      </c>
      <c r="AG29" s="55" t="str">
        <f t="shared" ca="1" si="28"/>
        <v/>
      </c>
      <c r="AH29" s="55" t="str">
        <f t="shared" ca="1" si="28"/>
        <v/>
      </c>
      <c r="AI29" s="55" t="str">
        <f t="shared" ca="1" si="28"/>
        <v/>
      </c>
      <c r="AJ29" s="55" t="str">
        <f t="shared" ca="1" si="28"/>
        <v/>
      </c>
      <c r="AK29" s="55" t="str">
        <f t="shared" ca="1" si="28"/>
        <v/>
      </c>
      <c r="AL29" s="55" t="str">
        <f t="shared" ca="1" si="28"/>
        <v/>
      </c>
      <c r="AM29" s="55" t="str">
        <f t="shared" ca="1" si="29"/>
        <v/>
      </c>
      <c r="AN29" s="55" t="str">
        <f t="shared" ca="1" si="29"/>
        <v/>
      </c>
      <c r="AO29" s="55" t="str">
        <f t="shared" ca="1" si="29"/>
        <v/>
      </c>
      <c r="AP29" s="55" t="str">
        <f t="shared" ca="1" si="29"/>
        <v/>
      </c>
      <c r="AQ29" s="55" t="str">
        <f t="shared" ca="1" si="29"/>
        <v/>
      </c>
      <c r="AR29" s="55" t="str">
        <f t="shared" ca="1" si="29"/>
        <v/>
      </c>
      <c r="AS29" s="55" t="str">
        <f t="shared" ca="1" si="29"/>
        <v/>
      </c>
      <c r="AT29" s="55" t="str">
        <f t="shared" ca="1" si="29"/>
        <v/>
      </c>
      <c r="AU29" s="55" t="str">
        <f t="shared" ca="1" si="29"/>
        <v/>
      </c>
      <c r="AV29" s="55" t="str">
        <f t="shared" ca="1" si="29"/>
        <v/>
      </c>
      <c r="AW29" s="55" t="str">
        <f t="shared" ca="1" si="30"/>
        <v/>
      </c>
      <c r="AX29" s="55" t="str">
        <f t="shared" ca="1" si="30"/>
        <v/>
      </c>
      <c r="AY29" s="55" t="str">
        <f t="shared" ca="1" si="30"/>
        <v/>
      </c>
      <c r="AZ29" s="55" t="str">
        <f t="shared" ca="1" si="30"/>
        <v/>
      </c>
      <c r="BA29" s="55" t="str">
        <f t="shared" ca="1" si="30"/>
        <v/>
      </c>
      <c r="BB29" s="55" t="str">
        <f t="shared" ca="1" si="30"/>
        <v/>
      </c>
      <c r="BC29" s="55" t="str">
        <f t="shared" ca="1" si="30"/>
        <v/>
      </c>
      <c r="BD29" s="55" t="str">
        <f t="shared" ca="1" si="30"/>
        <v/>
      </c>
      <c r="BE29" s="55" t="str">
        <f t="shared" ca="1" si="30"/>
        <v/>
      </c>
      <c r="BF29" s="55" t="str">
        <f t="shared" ca="1" si="30"/>
        <v/>
      </c>
      <c r="BG29" s="55" t="str">
        <f t="shared" ca="1" si="31"/>
        <v/>
      </c>
      <c r="BH29" s="55" t="str">
        <f t="shared" ca="1" si="31"/>
        <v/>
      </c>
      <c r="BI29" s="55" t="str">
        <f t="shared" ca="1" si="31"/>
        <v/>
      </c>
      <c r="BJ29" s="55" t="str">
        <f t="shared" ca="1" si="31"/>
        <v/>
      </c>
      <c r="BK29" s="55" t="str">
        <f t="shared" ca="1" si="31"/>
        <v/>
      </c>
      <c r="BL29" s="55" t="str">
        <f t="shared" ca="1" si="31"/>
        <v/>
      </c>
    </row>
    <row r="30" spans="1:68" s="18" customFormat="1" ht="39.75" customHeight="1">
      <c r="A30" s="13"/>
      <c r="B30" s="70" t="s">
        <v>49</v>
      </c>
      <c r="C30" s="53"/>
      <c r="D30" s="53" t="s">
        <v>50</v>
      </c>
      <c r="E30" s="54"/>
      <c r="F30" s="49" t="d">
        <f>DATE(2026,4,17)</f>
        <v>2026-04-17</v>
      </c>
      <c r="G30" s="50">
        <v>1</v>
      </c>
      <c r="H30" s="53"/>
      <c r="I30" s="55" t="str">
        <f t="shared" ca="1" si="26"/>
        <v/>
      </c>
      <c r="J30" s="55" t="str">
        <f t="shared" ca="1" si="26"/>
        <v/>
      </c>
      <c r="K30" s="55" t="str">
        <f t="shared" ca="1" si="26"/>
        <v/>
      </c>
      <c r="L30" s="55" t="str">
        <f t="shared" ca="1" si="26"/>
        <v/>
      </c>
      <c r="M30" s="55" t="str">
        <f t="shared" ca="1" si="26"/>
        <v/>
      </c>
      <c r="N30" s="55" t="str">
        <f t="shared" ca="1" si="26"/>
        <v/>
      </c>
      <c r="O30" s="55" t="str">
        <f t="shared" ca="1" si="26"/>
        <v/>
      </c>
      <c r="P30" s="55" t="str">
        <f t="shared" ca="1" si="26"/>
        <v/>
      </c>
      <c r="Q30" s="55" t="str">
        <f t="shared" ca="1" si="26"/>
        <v/>
      </c>
      <c r="R30" s="55" t="str">
        <f t="shared" ca="1" si="26"/>
        <v/>
      </c>
      <c r="S30" s="55" t="str">
        <f t="shared" ca="1" si="27"/>
        <v/>
      </c>
      <c r="T30" s="55" t="str">
        <f t="shared" ca="1" si="27"/>
        <v/>
      </c>
      <c r="U30" s="55" t="str">
        <f t="shared" ca="1" si="27"/>
        <v/>
      </c>
      <c r="V30" s="55" t="str">
        <f t="shared" ca="1" si="27"/>
        <v/>
      </c>
      <c r="W30" s="55" t="str">
        <f t="shared" ca="1" si="27"/>
        <v/>
      </c>
      <c r="X30" s="55" t="str">
        <f t="shared" ca="1" si="27"/>
        <v/>
      </c>
      <c r="Y30" s="55" t="str">
        <f t="shared" ca="1" si="27"/>
        <v/>
      </c>
      <c r="Z30" s="55" t="str">
        <f t="shared" ca="1" si="27"/>
        <v/>
      </c>
      <c r="AA30" s="55" t="str">
        <f t="shared" ca="1" si="27"/>
        <v/>
      </c>
      <c r="AB30" s="55" t="str">
        <f t="shared" ca="1" si="27"/>
        <v/>
      </c>
      <c r="AC30" s="55" t="str">
        <f t="shared" ca="1" si="28"/>
        <v/>
      </c>
      <c r="AD30" s="55" t="str">
        <f t="shared" ca="1" si="28"/>
        <v/>
      </c>
      <c r="AE30" s="55" t="str">
        <f t="shared" ca="1" si="28"/>
        <v/>
      </c>
      <c r="AF30" s="55" t="str">
        <f t="shared" ca="1" si="28"/>
        <v/>
      </c>
      <c r="AG30" s="55" t="str">
        <f t="shared" ca="1" si="28"/>
        <v/>
      </c>
      <c r="AH30" s="55" t="str">
        <f t="shared" ca="1" si="28"/>
        <v/>
      </c>
      <c r="AI30" s="55" t="str">
        <f t="shared" ca="1" si="28"/>
        <v/>
      </c>
      <c r="AJ30" s="55" t="str">
        <f t="shared" ca="1" si="28"/>
        <v/>
      </c>
      <c r="AK30" s="55" t="str">
        <f t="shared" ca="1" si="28"/>
        <v/>
      </c>
      <c r="AL30" s="55" t="str">
        <f t="shared" ca="1" si="28"/>
        <v/>
      </c>
      <c r="AM30" s="55" t="str">
        <f t="shared" ca="1" si="29"/>
        <v/>
      </c>
      <c r="AN30" s="55" t="str">
        <f t="shared" ca="1" si="29"/>
        <v/>
      </c>
      <c r="AO30" s="55" t="str">
        <f t="shared" ca="1" si="29"/>
        <v/>
      </c>
      <c r="AP30" s="55" t="str">
        <f t="shared" ca="1" si="29"/>
        <v/>
      </c>
      <c r="AQ30" s="55" t="str">
        <f t="shared" ca="1" si="29"/>
        <v/>
      </c>
      <c r="AR30" s="55" t="str">
        <f t="shared" ca="1" si="29"/>
        <v/>
      </c>
      <c r="AS30" s="55" t="str">
        <f t="shared" ca="1" si="29"/>
        <v/>
      </c>
      <c r="AT30" s="55" t="str">
        <f t="shared" ca="1" si="29"/>
        <v/>
      </c>
      <c r="AU30" s="55" t="str">
        <f t="shared" ca="1" si="29"/>
        <v/>
      </c>
      <c r="AV30" s="55" t="str">
        <f t="shared" ca="1" si="29"/>
        <v/>
      </c>
      <c r="AW30" s="55" t="str">
        <f t="shared" ca="1" si="30"/>
        <v/>
      </c>
      <c r="AX30" s="55" t="str">
        <f t="shared" ca="1" si="30"/>
        <v/>
      </c>
      <c r="AY30" s="55" t="str">
        <f t="shared" ca="1" si="30"/>
        <v/>
      </c>
      <c r="AZ30" s="55" t="str">
        <f t="shared" ca="1" si="30"/>
        <v/>
      </c>
      <c r="BA30" s="55" t="str">
        <f t="shared" ca="1" si="30"/>
        <v/>
      </c>
      <c r="BB30" s="55" t="str">
        <f t="shared" ca="1" si="30"/>
        <v/>
      </c>
      <c r="BC30" s="55" t="str">
        <f t="shared" ca="1" si="30"/>
        <v/>
      </c>
      <c r="BD30" s="55" t="str">
        <f t="shared" ca="1" si="30"/>
        <v/>
      </c>
      <c r="BE30" s="55" t="str">
        <f t="shared" ca="1" si="30"/>
        <v/>
      </c>
      <c r="BF30" s="55" t="str">
        <f t="shared" ca="1" si="30"/>
        <v/>
      </c>
      <c r="BG30" s="55" t="str">
        <f t="shared" ca="1" si="31"/>
        <v/>
      </c>
      <c r="BH30" s="55" t="str">
        <f t="shared" ca="1" si="31"/>
        <v/>
      </c>
      <c r="BI30" s="55" t="str">
        <f t="shared" ca="1" si="31"/>
        <v/>
      </c>
      <c r="BJ30" s="58" t="str">
        <f t="shared" ca="1" si="31"/>
        <v/>
      </c>
      <c r="BK30" s="55" t="str">
        <f t="shared" ca="1" si="31"/>
        <v/>
      </c>
      <c r="BL30" s="55" t="str">
        <f t="shared" ca="1" si="31"/>
        <v/>
      </c>
      <c r="BM30" s="76"/>
    </row>
    <row r="31" spans="1:68" s="18" customFormat="1" ht="39.75" customHeight="1">
      <c r="A31" s="15"/>
      <c r="B31" s="70"/>
      <c r="C31" s="53"/>
      <c r="D31" s="53"/>
      <c r="E31" s="4"/>
      <c r="F31" s="49"/>
      <c r="G31" s="77"/>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row>
    <row r="32" spans="1:68" customFormat="1" ht="30" customHeight="1">
      <c r="A32" s="13"/>
      <c r="B32" s="4" t="s">
        <v>51</v>
      </c>
      <c r="C32" s="4"/>
      <c r="D32" s="78" t="s">
        <v>52</v>
      </c>
      <c r="E32" s="4"/>
      <c r="F32" s="79" t="d">
        <f>DATE(2026,4,18)</f>
        <v>2026-04-18</v>
      </c>
      <c r="G32" s="80">
        <v>2</v>
      </c>
      <c r="H32" s="2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row>
    <row r="33" spans="1:68" customFormat="1" ht="30" customHeight="1">
      <c r="A33" s="13"/>
      <c r="B33" s="4"/>
      <c r="C33" s="4"/>
      <c r="D33" s="81"/>
      <c r="E33" s="4"/>
      <c r="F33" s="1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82"/>
      <c r="BL33" s="82"/>
      <c r="BM33" s="4"/>
      <c r="BN33" s="4"/>
      <c r="BO33" s="4"/>
      <c r="BP33" s="4"/>
    </row>
  </sheetData>
  <mergeCells count="8">
    <mergeCell ref="X4:AA4"/>
    <mergeCell ref="AC4:AF4"/>
    <mergeCell ref="B2:H2"/>
    <mergeCell ref="I2:N2"/>
    <mergeCell ref="O2:T2"/>
    <mergeCell ref="I4:L4"/>
    <mergeCell ref="N4:Q4"/>
    <mergeCell ref="S4:V4"/>
  </mergeCells>
  <conditionalFormatting sqref="I6:W6 Z6:BL6">
    <cfRule type="expression" dxfId="6" priority="1" stopIfTrue="1">
      <formula>AND(I$7&lt;=EOMONTH($I$7,1),I$7&gt;EOMONTH($I$7,0))</formula>
    </cfRule>
  </conditionalFormatting>
  <conditionalFormatting sqref="X6">
    <cfRule type="expression" dxfId="5" priority="2" stopIfTrue="1">
      <formula>AND(Y$7&lt;=EOMONTH($I$7,1),Y$7&gt;EOMONTH($I$7,0))</formula>
    </cfRule>
  </conditionalFormatting>
  <conditionalFormatting sqref="I7:BL31">
    <cfRule type="expression" dxfId="4" priority="3" stopIfTrue="1">
      <formula>AND(TODAY()&gt;=I$7,TODAY()&lt;J$7)</formula>
    </cfRule>
  </conditionalFormatting>
  <printOptions horizontalCentered="1"/>
  <pageMargins left="0.25" right="0.25" top="0.89370078740157499" bottom="0.54724409448818911" header="0.5" footer="0.30000000000000004"/>
  <pageSetup paperSize="0" fitToHeight="0" orientation="landscape" horizontalDpi="0" verticalDpi="0" copies="0"/>
  <headerFooter alignWithMargins="0">
    <oddFooter>&amp;C&amp;"Calibri1,Regular"&amp;11&amp;K000000Page &amp;P of &amp;N</oddFooter>
  </headerFooter>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1503-5CCD-4E7B-9AEE-2F9F9EA32644}">
  <sheetPr>
    <pageSetUpPr fitToPage="1"/>
  </sheetPr>
  <dimension ref="A1:BP38"/>
  <sheetViews>
    <sheetView workbookViewId="0"/>
  </sheetViews>
  <sheetFormatPr defaultColWidth="9.28515625" defaultRowHeight="30" customHeight="1"/>
  <cols>
    <col min="1" max="1" width="5" style="13" customWidth="1"/>
    <col min="2" max="2" width="32.42578125" style="4" customWidth="1"/>
    <col min="3" max="3" width="14" style="4" customWidth="1"/>
    <col min="4" max="4" width="21.7109375" style="4" customWidth="1"/>
    <col min="5" max="5" width="16.5703125" style="4" customWidth="1"/>
    <col min="6" max="6" width="11" style="14" customWidth="1"/>
    <col min="7" max="7" width="11" style="4" customWidth="1"/>
    <col min="8" max="8" width="2.85546875" style="4" customWidth="1"/>
    <col min="9" max="64" width="3.7109375" style="4" customWidth="1"/>
    <col min="65" max="65" width="2.85546875" style="4" customWidth="1"/>
    <col min="66" max="66" width="9.28515625" style="4" customWidth="1"/>
    <col min="67" max="16384" width="9.28515625" style="4"/>
  </cols>
  <sheetData>
    <row r="1" spans="1:68" ht="24.75" customHeight="1"/>
    <row r="2" spans="1:68" ht="49.5" customHeight="1">
      <c r="A2" s="15"/>
      <c r="B2" s="134" t="s">
        <v>3</v>
      </c>
      <c r="C2" s="134"/>
      <c r="D2" s="134"/>
      <c r="E2" s="134"/>
      <c r="F2" s="134"/>
      <c r="G2" s="134"/>
      <c r="H2" s="134"/>
      <c r="I2" s="135"/>
      <c r="J2" s="135"/>
      <c r="K2" s="135"/>
      <c r="L2" s="135"/>
      <c r="M2" s="135"/>
      <c r="N2" s="135"/>
      <c r="O2" s="135"/>
      <c r="P2" s="135"/>
      <c r="Q2" s="135"/>
      <c r="R2" s="135"/>
      <c r="S2" s="135"/>
      <c r="T2" s="135"/>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row>
    <row r="3" spans="1:68" ht="19.5" customHeight="1">
      <c r="A3" s="15"/>
      <c r="B3" s="91"/>
      <c r="C3" s="92"/>
      <c r="D3" s="93"/>
      <c r="E3" s="93"/>
      <c r="F3" s="94"/>
      <c r="G3" s="93"/>
      <c r="H3" s="93"/>
      <c r="I3" s="95"/>
      <c r="J3" s="93"/>
      <c r="K3" s="93"/>
      <c r="L3" s="93"/>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row>
    <row r="4" spans="1:68" ht="30" customHeight="1">
      <c r="A4" s="15"/>
      <c r="B4" s="97" t="s">
        <v>4</v>
      </c>
      <c r="C4" s="98"/>
      <c r="D4" s="99"/>
      <c r="E4" s="96"/>
      <c r="F4" s="100"/>
      <c r="G4" s="101" t="s">
        <v>6</v>
      </c>
      <c r="H4" s="96"/>
      <c r="I4" s="85" t="s">
        <v>7</v>
      </c>
      <c r="J4" s="85"/>
      <c r="K4" s="85"/>
      <c r="L4" s="85"/>
      <c r="M4" s="96"/>
      <c r="N4" s="86" t="s">
        <v>8</v>
      </c>
      <c r="O4" s="86"/>
      <c r="P4" s="86"/>
      <c r="Q4" s="86"/>
      <c r="R4" s="96"/>
      <c r="S4" s="87" t="s">
        <v>9</v>
      </c>
      <c r="T4" s="87"/>
      <c r="U4" s="87"/>
      <c r="V4" s="87"/>
      <c r="W4" s="96"/>
      <c r="X4" s="88" t="s">
        <v>10</v>
      </c>
      <c r="Y4" s="88"/>
      <c r="Z4" s="88"/>
      <c r="AA4" s="88"/>
      <c r="AB4" s="96"/>
      <c r="AC4" s="89" t="s">
        <v>11</v>
      </c>
      <c r="AD4" s="89"/>
      <c r="AE4" s="89"/>
      <c r="AF4" s="89"/>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row>
    <row r="5" spans="1:68" ht="30" customHeight="1">
      <c r="A5" s="15"/>
      <c r="B5" s="102" t="s">
        <v>12</v>
      </c>
      <c r="C5" s="99"/>
      <c r="D5" s="99"/>
      <c r="E5" s="96"/>
      <c r="F5" s="100"/>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row>
    <row r="6" spans="1:68" ht="30" customHeight="1">
      <c r="A6" s="15"/>
      <c r="B6" s="103" t="s">
        <v>14</v>
      </c>
      <c r="C6" s="104" t="d">
        <v>2026-04-22</v>
      </c>
      <c r="D6" s="105"/>
      <c r="E6" s="96"/>
      <c r="F6" s="100"/>
      <c r="G6" s="96"/>
      <c r="H6" s="96"/>
      <c r="I6" s="106" t="str">
        <f ca="1">TEXT(I7,"mmmm")</f>
        <v>April</v>
      </c>
      <c r="J6" s="106"/>
      <c r="K6" s="106"/>
      <c r="L6" s="106"/>
      <c r="M6" s="106"/>
      <c r="N6" s="106"/>
      <c r="O6" s="106"/>
      <c r="P6" s="106" t="str">
        <f ca="1">IF(TEXT(P7,"mmmm")=I6,"",TEXT(P7,"mmmm"))</f>
        <v/>
      </c>
      <c r="Q6" s="106"/>
      <c r="R6" s="106"/>
      <c r="S6" s="106"/>
      <c r="T6" s="106"/>
      <c r="U6" s="106"/>
      <c r="V6" s="106"/>
      <c r="W6" s="106" t="str">
        <f ca="1">IF(OR(TEXT(W7,"mmmm")=P6,TEXT(W7,"mmmm")=I6),"",TEXT(W7,"mmmm"))</f>
        <v>May</v>
      </c>
      <c r="X6" s="106"/>
      <c r="Y6" s="106"/>
      <c r="Z6" s="106"/>
      <c r="AA6" s="106"/>
      <c r="AB6" s="106"/>
      <c r="AC6" s="106"/>
      <c r="AD6" s="106" t="str">
        <f ca="1">IF(OR(TEXT(AD7,"mmmm")=W6,TEXT(AD7,"mmmm")=P6,TEXT(AD7,"mmmm")=I6),"",TEXT(AD7,"mmmm"))</f>
        <v/>
      </c>
      <c r="AE6" s="106"/>
      <c r="AF6" s="106"/>
      <c r="AG6" s="106"/>
      <c r="AH6" s="106"/>
      <c r="AI6" s="106"/>
      <c r="AJ6" s="106"/>
      <c r="AK6" s="106" t="str">
        <f ca="1">IF(OR(TEXT(AK7,"mmmm")=AD6,TEXT(AK7,"mmmm")=W6,TEXT(AK7,"mmmm")=P6,TEXT(AK7,"mmmm")=I6),"",TEXT(AK7,"mmmm"))</f>
        <v/>
      </c>
      <c r="AL6" s="106"/>
      <c r="AM6" s="106"/>
      <c r="AN6" s="106"/>
      <c r="AO6" s="106"/>
      <c r="AP6" s="106"/>
      <c r="AQ6" s="106"/>
      <c r="AR6" s="106" t="str">
        <f ca="1">IF(OR(TEXT(AR7,"mmmm")=AK6,TEXT(AR7,"mmmm")=AD6,TEXT(AR7,"mmmm")=W6,TEXT(AR7,"mmmm")=P6),"",TEXT(AR7,"mmmm"))</f>
        <v/>
      </c>
      <c r="AS6" s="106"/>
      <c r="AT6" s="106"/>
      <c r="AU6" s="106"/>
      <c r="AV6" s="106"/>
      <c r="AW6" s="106"/>
      <c r="AX6" s="106"/>
      <c r="AY6" s="106" t="str">
        <f ca="1">IF(OR(TEXT(AY7,"mmmm")=AR6,TEXT(AY7,"mmmm")=AK6,TEXT(AY7,"mmmm")=AD6,TEXT(AY7,"mmmm")=W6),"",TEXT(AY7,"mmmm"))</f>
        <v>June</v>
      </c>
      <c r="AZ6" s="106"/>
      <c r="BA6" s="106"/>
      <c r="BB6" s="107"/>
      <c r="BC6" s="108"/>
      <c r="BD6" s="108"/>
      <c r="BE6" s="108"/>
      <c r="BF6" s="108" t="str">
        <f ca="1">IF(OR(TEXT(BF7,"mmmm")=AY6,TEXT(BF7,"mmmm")=AR6,TEXT(BF7,"mmmm")=AK6,TEXT(BF7,"mmmm")=AD6),"",TEXT(BF7,"mmmm"))</f>
        <v/>
      </c>
      <c r="BG6" s="108"/>
      <c r="BH6" s="108"/>
      <c r="BI6" s="108"/>
      <c r="BJ6" s="108"/>
      <c r="BK6" s="108"/>
      <c r="BL6" s="108"/>
      <c r="BM6" s="96"/>
    </row>
    <row r="7" spans="1:68" ht="30" customHeight="1">
      <c r="A7" s="15"/>
      <c r="B7" s="103" t="s">
        <v>15</v>
      </c>
      <c r="C7" s="109">
        <v>1</v>
      </c>
      <c r="D7" s="99"/>
      <c r="E7" s="96"/>
      <c r="F7" s="96"/>
      <c r="G7" s="96"/>
      <c r="H7" s="96"/>
      <c r="I7" s="110" t="d">
        <f ca="1">IFERROR(_xlfn.SINGLE(Project_Start)+_xlfn.SINGLE(Scrolling_Increment),TODAY())</f>
        <v>2026-04-23</v>
      </c>
      <c r="J7" s="111" t="d">
        <f t="shared" ref="J7:AO7" ca="1" si="0">I7+1</f>
        <v>2026-04-24</v>
      </c>
      <c r="K7" s="111" t="d">
        <f t="shared" ca="1" si="0"/>
        <v>2026-04-25</v>
      </c>
      <c r="L7" s="111" t="d">
        <f t="shared" ca="1" si="0"/>
        <v>2026-04-26</v>
      </c>
      <c r="M7" s="111" t="d">
        <f t="shared" ca="1" si="0"/>
        <v>2026-04-27</v>
      </c>
      <c r="N7" s="111" t="d">
        <f t="shared" ca="1" si="0"/>
        <v>2026-04-28</v>
      </c>
      <c r="O7" s="112" t="d">
        <f t="shared" ca="1" si="0"/>
        <v>2026-04-29</v>
      </c>
      <c r="P7" s="111" t="d">
        <f t="shared" ca="1" si="0"/>
        <v>2026-04-30</v>
      </c>
      <c r="Q7" s="111" t="d">
        <f t="shared" ca="1" si="0"/>
        <v>2026-05-01</v>
      </c>
      <c r="R7" s="111" t="d">
        <f t="shared" ca="1" si="0"/>
        <v>2026-05-02</v>
      </c>
      <c r="S7" s="111" t="d">
        <f t="shared" ca="1" si="0"/>
        <v>2026-05-03</v>
      </c>
      <c r="T7" s="111" t="d">
        <f t="shared" ca="1" si="0"/>
        <v>2026-05-04</v>
      </c>
      <c r="U7" s="111" t="d">
        <f t="shared" ca="1" si="0"/>
        <v>2026-05-05</v>
      </c>
      <c r="V7" s="112" t="d">
        <f t="shared" ca="1" si="0"/>
        <v>2026-05-06</v>
      </c>
      <c r="W7" s="111" t="d">
        <f t="shared" ca="1" si="0"/>
        <v>2026-05-07</v>
      </c>
      <c r="X7" s="111" t="d">
        <f t="shared" ca="1" si="0"/>
        <v>2026-05-08</v>
      </c>
      <c r="Y7" s="111" t="d">
        <f t="shared" ca="1" si="0"/>
        <v>2026-05-09</v>
      </c>
      <c r="Z7" s="111" t="d">
        <f t="shared" ca="1" si="0"/>
        <v>2026-05-10</v>
      </c>
      <c r="AA7" s="111" t="d">
        <f t="shared" ca="1" si="0"/>
        <v>2026-05-11</v>
      </c>
      <c r="AB7" s="111" t="d">
        <f t="shared" ca="1" si="0"/>
        <v>2026-05-12</v>
      </c>
      <c r="AC7" s="112" t="d">
        <f t="shared" ca="1" si="0"/>
        <v>2026-05-13</v>
      </c>
      <c r="AD7" s="111" t="d">
        <f t="shared" ca="1" si="0"/>
        <v>2026-05-14</v>
      </c>
      <c r="AE7" s="111" t="d">
        <f t="shared" ca="1" si="0"/>
        <v>2026-05-15</v>
      </c>
      <c r="AF7" s="111" t="d">
        <f t="shared" ca="1" si="0"/>
        <v>2026-05-16</v>
      </c>
      <c r="AG7" s="111" t="d">
        <f t="shared" ca="1" si="0"/>
        <v>2026-05-17</v>
      </c>
      <c r="AH7" s="111" t="d">
        <f t="shared" ca="1" si="0"/>
        <v>2026-05-18</v>
      </c>
      <c r="AI7" s="111" t="d">
        <f t="shared" ca="1" si="0"/>
        <v>2026-05-19</v>
      </c>
      <c r="AJ7" s="112" t="d">
        <f t="shared" ca="1" si="0"/>
        <v>2026-05-20</v>
      </c>
      <c r="AK7" s="111" t="d">
        <f t="shared" ca="1" si="0"/>
        <v>2026-05-21</v>
      </c>
      <c r="AL7" s="111" t="d">
        <f t="shared" ca="1" si="0"/>
        <v>2026-05-22</v>
      </c>
      <c r="AM7" s="111" t="d">
        <f t="shared" ca="1" si="0"/>
        <v>2026-05-23</v>
      </c>
      <c r="AN7" s="111" t="d">
        <f t="shared" ca="1" si="0"/>
        <v>2026-05-24</v>
      </c>
      <c r="AO7" s="111" t="d">
        <f t="shared" ca="1" si="0"/>
        <v>2026-05-25</v>
      </c>
      <c r="AP7" s="111" t="d">
        <f t="shared" ref="AP7:BL7" ca="1" si="1">AO7+1</f>
        <v>2026-05-26</v>
      </c>
      <c r="AQ7" s="112" t="d">
        <f t="shared" ca="1" si="1"/>
        <v>2026-05-27</v>
      </c>
      <c r="AR7" s="111" t="d">
        <f t="shared" ca="1" si="1"/>
        <v>2026-05-28</v>
      </c>
      <c r="AS7" s="111" t="d">
        <f t="shared" ca="1" si="1"/>
        <v>2026-05-29</v>
      </c>
      <c r="AT7" s="111" t="d">
        <f t="shared" ca="1" si="1"/>
        <v>2026-05-30</v>
      </c>
      <c r="AU7" s="111" t="d">
        <f t="shared" ca="1" si="1"/>
        <v>2026-05-31</v>
      </c>
      <c r="AV7" s="111" t="d">
        <f t="shared" ca="1" si="1"/>
        <v>2026-06-01</v>
      </c>
      <c r="AW7" s="111" t="d">
        <f t="shared" ca="1" si="1"/>
        <v>2026-06-02</v>
      </c>
      <c r="AX7" s="112" t="d">
        <f t="shared" ca="1" si="1"/>
        <v>2026-06-03</v>
      </c>
      <c r="AY7" s="111" t="d">
        <f t="shared" ca="1" si="1"/>
        <v>2026-06-04</v>
      </c>
      <c r="AZ7" s="111" t="d">
        <f t="shared" ca="1" si="1"/>
        <v>2026-06-05</v>
      </c>
      <c r="BA7" s="111" t="d">
        <f t="shared" ca="1" si="1"/>
        <v>2026-06-06</v>
      </c>
      <c r="BB7" s="111" t="d">
        <f t="shared" ca="1" si="1"/>
        <v>2026-06-07</v>
      </c>
      <c r="BC7" s="111" t="d">
        <f t="shared" ca="1" si="1"/>
        <v>2026-06-08</v>
      </c>
      <c r="BD7" s="111" t="d">
        <f t="shared" ca="1" si="1"/>
        <v>2026-06-09</v>
      </c>
      <c r="BE7" s="112" t="d">
        <f t="shared" ca="1" si="1"/>
        <v>2026-06-10</v>
      </c>
      <c r="BF7" s="111" t="d">
        <f t="shared" ca="1" si="1"/>
        <v>2026-06-11</v>
      </c>
      <c r="BG7" s="111" t="d">
        <f t="shared" ca="1" si="1"/>
        <v>2026-06-12</v>
      </c>
      <c r="BH7" s="111" t="d">
        <f t="shared" ca="1" si="1"/>
        <v>2026-06-13</v>
      </c>
      <c r="BI7" s="111" t="d">
        <f t="shared" ca="1" si="1"/>
        <v>2026-06-14</v>
      </c>
      <c r="BJ7" s="111" t="d">
        <f t="shared" ca="1" si="1"/>
        <v>2026-06-15</v>
      </c>
      <c r="BK7" s="111" t="d">
        <f t="shared" ca="1" si="1"/>
        <v>2026-06-16</v>
      </c>
      <c r="BL7" s="113" t="d">
        <f t="shared" ca="1" si="1"/>
        <v>2026-06-17</v>
      </c>
      <c r="BM7" s="96"/>
    </row>
    <row r="8" spans="1:68" ht="19.5" customHeight="1">
      <c r="A8" s="15"/>
      <c r="B8" s="99"/>
      <c r="C8" s="99"/>
      <c r="D8" s="99"/>
      <c r="E8" s="96"/>
      <c r="F8" s="96"/>
      <c r="G8" s="96"/>
      <c r="H8" s="96"/>
      <c r="I8" s="114"/>
      <c r="J8" s="115"/>
      <c r="K8" s="115"/>
      <c r="L8" s="115"/>
      <c r="M8" s="115"/>
      <c r="N8" s="115"/>
      <c r="O8" s="115"/>
      <c r="P8" s="114"/>
      <c r="Q8" s="115"/>
      <c r="R8" s="115"/>
      <c r="S8" s="115"/>
      <c r="T8" s="115"/>
      <c r="U8" s="115"/>
      <c r="V8" s="115"/>
      <c r="W8" s="114"/>
      <c r="X8" s="115"/>
      <c r="Y8" s="115"/>
      <c r="Z8" s="115"/>
      <c r="AA8" s="115"/>
      <c r="AB8" s="115"/>
      <c r="AC8" s="115"/>
      <c r="AD8" s="114"/>
      <c r="AE8" s="115"/>
      <c r="AF8" s="115"/>
      <c r="AG8" s="115"/>
      <c r="AH8" s="115"/>
      <c r="AI8" s="115"/>
      <c r="AJ8" s="115"/>
      <c r="AK8" s="114"/>
      <c r="AL8" s="115"/>
      <c r="AM8" s="115"/>
      <c r="AN8" s="115"/>
      <c r="AO8" s="115"/>
      <c r="AP8" s="115"/>
      <c r="AQ8" s="115"/>
      <c r="AR8" s="114"/>
      <c r="AS8" s="115"/>
      <c r="AT8" s="115"/>
      <c r="AU8" s="115"/>
      <c r="AV8" s="115"/>
      <c r="AW8" s="115"/>
      <c r="AX8" s="115"/>
      <c r="AY8" s="114"/>
      <c r="AZ8" s="115"/>
      <c r="BA8" s="115"/>
      <c r="BB8" s="115"/>
      <c r="BC8" s="115"/>
      <c r="BD8" s="115"/>
      <c r="BE8" s="115"/>
      <c r="BF8" s="114"/>
      <c r="BG8" s="115"/>
      <c r="BH8" s="115"/>
      <c r="BI8" s="115"/>
      <c r="BJ8" s="115"/>
      <c r="BK8" s="115"/>
      <c r="BL8" s="116"/>
      <c r="BM8" s="96"/>
    </row>
    <row r="9" spans="1:68" ht="39.75" customHeight="1">
      <c r="A9" s="15"/>
      <c r="B9" s="117" t="s">
        <v>16</v>
      </c>
      <c r="C9" s="118" t="s">
        <v>17</v>
      </c>
      <c r="D9" s="118" t="s">
        <v>18</v>
      </c>
      <c r="E9" s="118" t="s">
        <v>19</v>
      </c>
      <c r="F9" s="118" t="s">
        <v>20</v>
      </c>
      <c r="G9" s="118" t="s">
        <v>21</v>
      </c>
      <c r="H9" s="119"/>
      <c r="I9" s="120" t="str">
        <f t="shared" ref="I9:AN9" ca="1" si="2">LEFT(TEXT(I7,"ddd"),1)</f>
        <v>T</v>
      </c>
      <c r="J9" s="120" t="str">
        <f t="shared" ca="1" si="2"/>
        <v>F</v>
      </c>
      <c r="K9" s="120" t="str">
        <f t="shared" ca="1" si="2"/>
        <v>S</v>
      </c>
      <c r="L9" s="120" t="str">
        <f t="shared" ca="1" si="2"/>
        <v>S</v>
      </c>
      <c r="M9" s="120" t="str">
        <f t="shared" ca="1" si="2"/>
        <v>M</v>
      </c>
      <c r="N9" s="120" t="str">
        <f t="shared" ca="1" si="2"/>
        <v>T</v>
      </c>
      <c r="O9" s="120" t="str">
        <f t="shared" ca="1" si="2"/>
        <v>W</v>
      </c>
      <c r="P9" s="120" t="str">
        <f t="shared" ca="1" si="2"/>
        <v>T</v>
      </c>
      <c r="Q9" s="120" t="str">
        <f t="shared" ca="1" si="2"/>
        <v>F</v>
      </c>
      <c r="R9" s="120" t="str">
        <f t="shared" ca="1" si="2"/>
        <v>S</v>
      </c>
      <c r="S9" s="120" t="str">
        <f t="shared" ca="1" si="2"/>
        <v>S</v>
      </c>
      <c r="T9" s="120" t="str">
        <f t="shared" ca="1" si="2"/>
        <v>M</v>
      </c>
      <c r="U9" s="120" t="str">
        <f t="shared" ca="1" si="2"/>
        <v>T</v>
      </c>
      <c r="V9" s="120" t="str">
        <f t="shared" ca="1" si="2"/>
        <v>W</v>
      </c>
      <c r="W9" s="120" t="str">
        <f t="shared" ca="1" si="2"/>
        <v>T</v>
      </c>
      <c r="X9" s="120" t="str">
        <f t="shared" ca="1" si="2"/>
        <v>F</v>
      </c>
      <c r="Y9" s="120" t="str">
        <f t="shared" ca="1" si="2"/>
        <v>S</v>
      </c>
      <c r="Z9" s="120" t="str">
        <f t="shared" ca="1" si="2"/>
        <v>S</v>
      </c>
      <c r="AA9" s="120" t="str">
        <f t="shared" ca="1" si="2"/>
        <v>M</v>
      </c>
      <c r="AB9" s="120" t="str">
        <f t="shared" ca="1" si="2"/>
        <v>T</v>
      </c>
      <c r="AC9" s="120" t="str">
        <f t="shared" ca="1" si="2"/>
        <v>W</v>
      </c>
      <c r="AD9" s="120" t="str">
        <f t="shared" ca="1" si="2"/>
        <v>T</v>
      </c>
      <c r="AE9" s="120" t="str">
        <f t="shared" ca="1" si="2"/>
        <v>F</v>
      </c>
      <c r="AF9" s="120" t="str">
        <f t="shared" ca="1" si="2"/>
        <v>S</v>
      </c>
      <c r="AG9" s="120" t="str">
        <f t="shared" ca="1" si="2"/>
        <v>S</v>
      </c>
      <c r="AH9" s="120" t="str">
        <f t="shared" ca="1" si="2"/>
        <v>M</v>
      </c>
      <c r="AI9" s="120" t="str">
        <f t="shared" ca="1" si="2"/>
        <v>T</v>
      </c>
      <c r="AJ9" s="120" t="str">
        <f t="shared" ca="1" si="2"/>
        <v>W</v>
      </c>
      <c r="AK9" s="120" t="str">
        <f t="shared" ca="1" si="2"/>
        <v>T</v>
      </c>
      <c r="AL9" s="120" t="str">
        <f t="shared" ca="1" si="2"/>
        <v>F</v>
      </c>
      <c r="AM9" s="120" t="str">
        <f t="shared" ca="1" si="2"/>
        <v>S</v>
      </c>
      <c r="AN9" s="120" t="str">
        <f t="shared" ca="1" si="2"/>
        <v>S</v>
      </c>
      <c r="AO9" s="120" t="str">
        <f t="shared" ref="AO9:BL9" ca="1" si="3">LEFT(TEXT(AO7,"ddd"),1)</f>
        <v>M</v>
      </c>
      <c r="AP9" s="120" t="str">
        <f t="shared" ca="1" si="3"/>
        <v>T</v>
      </c>
      <c r="AQ9" s="120" t="str">
        <f t="shared" ca="1" si="3"/>
        <v>W</v>
      </c>
      <c r="AR9" s="120" t="str">
        <f t="shared" ca="1" si="3"/>
        <v>T</v>
      </c>
      <c r="AS9" s="120" t="str">
        <f t="shared" ca="1" si="3"/>
        <v>F</v>
      </c>
      <c r="AT9" s="120" t="str">
        <f t="shared" ca="1" si="3"/>
        <v>S</v>
      </c>
      <c r="AU9" s="120" t="str">
        <f t="shared" ca="1" si="3"/>
        <v>S</v>
      </c>
      <c r="AV9" s="120" t="str">
        <f t="shared" ca="1" si="3"/>
        <v>M</v>
      </c>
      <c r="AW9" s="120" t="str">
        <f t="shared" ca="1" si="3"/>
        <v>T</v>
      </c>
      <c r="AX9" s="120" t="str">
        <f t="shared" ca="1" si="3"/>
        <v>W</v>
      </c>
      <c r="AY9" s="120" t="str">
        <f t="shared" ca="1" si="3"/>
        <v>T</v>
      </c>
      <c r="AZ9" s="120" t="str">
        <f t="shared" ca="1" si="3"/>
        <v>F</v>
      </c>
      <c r="BA9" s="120" t="str">
        <f t="shared" ca="1" si="3"/>
        <v>S</v>
      </c>
      <c r="BB9" s="120" t="str">
        <f t="shared" ca="1" si="3"/>
        <v>S</v>
      </c>
      <c r="BC9" s="120" t="str">
        <f t="shared" ca="1" si="3"/>
        <v>M</v>
      </c>
      <c r="BD9" s="120" t="str">
        <f t="shared" ca="1" si="3"/>
        <v>T</v>
      </c>
      <c r="BE9" s="120" t="str">
        <f t="shared" ca="1" si="3"/>
        <v>W</v>
      </c>
      <c r="BF9" s="120" t="str">
        <f t="shared" ca="1" si="3"/>
        <v>T</v>
      </c>
      <c r="BG9" s="120" t="str">
        <f t="shared" ca="1" si="3"/>
        <v>F</v>
      </c>
      <c r="BH9" s="120" t="str">
        <f t="shared" ca="1" si="3"/>
        <v>S</v>
      </c>
      <c r="BI9" s="120" t="str">
        <f t="shared" ca="1" si="3"/>
        <v>S</v>
      </c>
      <c r="BJ9" s="120" t="str">
        <f t="shared" ca="1" si="3"/>
        <v>M</v>
      </c>
      <c r="BK9" s="120" t="str">
        <f t="shared" ca="1" si="3"/>
        <v>T</v>
      </c>
      <c r="BL9" s="120" t="str">
        <f t="shared" ca="1" si="3"/>
        <v>W</v>
      </c>
      <c r="BM9" s="96"/>
    </row>
    <row r="10" spans="1:68" ht="30" hidden="1" customHeight="1">
      <c r="B10" s="46"/>
      <c r="C10" s="47"/>
      <c r="D10" s="48"/>
      <c r="E10" s="47"/>
      <c r="F10" s="49"/>
      <c r="G10" s="50"/>
      <c r="H10" s="96"/>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96"/>
    </row>
    <row r="11" spans="1:68" s="18" customFormat="1" ht="39.75" customHeight="1">
      <c r="A11" s="15"/>
      <c r="B11" s="121" t="s">
        <v>53</v>
      </c>
      <c r="C11" s="122"/>
      <c r="D11" s="122"/>
      <c r="E11" s="123"/>
      <c r="F11" s="124"/>
      <c r="G11" s="125"/>
      <c r="H11" s="126"/>
      <c r="I11" s="127" t="str">
        <f t="shared" ref="I11:R20" ca="1" si="4">IF(AND($C11="Goal",I$7&gt;=$F11,I$7&lt;=$F11+$G11-1),2,IF(AND($C11="Milestone",I$7&gt;=$F11,I$7&lt;=$F11+$G11-1),1,""))</f>
        <v/>
      </c>
      <c r="J11" s="128" t="str">
        <f t="shared" ca="1" si="4"/>
        <v/>
      </c>
      <c r="K11" s="128" t="str">
        <f t="shared" ca="1" si="4"/>
        <v/>
      </c>
      <c r="L11" s="128" t="str">
        <f t="shared" ca="1" si="4"/>
        <v/>
      </c>
      <c r="M11" s="128" t="str">
        <f t="shared" ca="1" si="4"/>
        <v/>
      </c>
      <c r="N11" s="128" t="str">
        <f t="shared" ca="1" si="4"/>
        <v/>
      </c>
      <c r="O11" s="128" t="str">
        <f t="shared" ca="1" si="4"/>
        <v/>
      </c>
      <c r="P11" s="128" t="str">
        <f t="shared" ca="1" si="4"/>
        <v/>
      </c>
      <c r="Q11" s="128" t="str">
        <f t="shared" ca="1" si="4"/>
        <v/>
      </c>
      <c r="R11" s="128" t="str">
        <f t="shared" ca="1" si="4"/>
        <v/>
      </c>
      <c r="S11" s="128" t="str">
        <f t="shared" ref="S11:AB20" ca="1" si="5">IF(AND($C11="Goal",S$7&gt;=$F11,S$7&lt;=$F11+$G11-1),2,IF(AND($C11="Milestone",S$7&gt;=$F11,S$7&lt;=$F11+$G11-1),1,""))</f>
        <v/>
      </c>
      <c r="T11" s="128" t="str">
        <f t="shared" ca="1" si="5"/>
        <v/>
      </c>
      <c r="U11" s="128" t="str">
        <f t="shared" ca="1" si="5"/>
        <v/>
      </c>
      <c r="V11" s="128" t="str">
        <f t="shared" ca="1" si="5"/>
        <v/>
      </c>
      <c r="W11" s="128" t="str">
        <f t="shared" ca="1" si="5"/>
        <v/>
      </c>
      <c r="X11" s="128" t="str">
        <f t="shared" ca="1" si="5"/>
        <v/>
      </c>
      <c r="Y11" s="128" t="str">
        <f t="shared" ca="1" si="5"/>
        <v/>
      </c>
      <c r="Z11" s="128" t="str">
        <f t="shared" ca="1" si="5"/>
        <v/>
      </c>
      <c r="AA11" s="128" t="str">
        <f t="shared" ca="1" si="5"/>
        <v/>
      </c>
      <c r="AB11" s="128" t="str">
        <f t="shared" ca="1" si="5"/>
        <v/>
      </c>
      <c r="AC11" s="128" t="str">
        <f t="shared" ref="AC11:AL20" ca="1" si="6">IF(AND($C11="Goal",AC$7&gt;=$F11,AC$7&lt;=$F11+$G11-1),2,IF(AND($C11="Milestone",AC$7&gt;=$F11,AC$7&lt;=$F11+$G11-1),1,""))</f>
        <v/>
      </c>
      <c r="AD11" s="128" t="str">
        <f t="shared" ca="1" si="6"/>
        <v/>
      </c>
      <c r="AE11" s="128" t="str">
        <f t="shared" ca="1" si="6"/>
        <v/>
      </c>
      <c r="AF11" s="128" t="str">
        <f t="shared" ca="1" si="6"/>
        <v/>
      </c>
      <c r="AG11" s="128" t="str">
        <f t="shared" ca="1" si="6"/>
        <v/>
      </c>
      <c r="AH11" s="128" t="str">
        <f t="shared" ca="1" si="6"/>
        <v/>
      </c>
      <c r="AI11" s="128" t="str">
        <f t="shared" ca="1" si="6"/>
        <v/>
      </c>
      <c r="AJ11" s="128" t="str">
        <f t="shared" ca="1" si="6"/>
        <v/>
      </c>
      <c r="AK11" s="128" t="str">
        <f t="shared" ca="1" si="6"/>
        <v/>
      </c>
      <c r="AL11" s="128" t="str">
        <f t="shared" ca="1" si="6"/>
        <v/>
      </c>
      <c r="AM11" s="128" t="str">
        <f t="shared" ref="AM11:AV20" ca="1" si="7">IF(AND($C11="Goal",AM$7&gt;=$F11,AM$7&lt;=$F11+$G11-1),2,IF(AND($C11="Milestone",AM$7&gt;=$F11,AM$7&lt;=$F11+$G11-1),1,""))</f>
        <v/>
      </c>
      <c r="AN11" s="128" t="str">
        <f t="shared" ca="1" si="7"/>
        <v/>
      </c>
      <c r="AO11" s="128" t="str">
        <f t="shared" ca="1" si="7"/>
        <v/>
      </c>
      <c r="AP11" s="128" t="str">
        <f t="shared" ca="1" si="7"/>
        <v/>
      </c>
      <c r="AQ11" s="128" t="str">
        <f t="shared" ca="1" si="7"/>
        <v/>
      </c>
      <c r="AR11" s="128" t="str">
        <f t="shared" ca="1" si="7"/>
        <v/>
      </c>
      <c r="AS11" s="128" t="str">
        <f t="shared" ca="1" si="7"/>
        <v/>
      </c>
      <c r="AT11" s="128" t="str">
        <f t="shared" ca="1" si="7"/>
        <v/>
      </c>
      <c r="AU11" s="128" t="str">
        <f t="shared" ca="1" si="7"/>
        <v/>
      </c>
      <c r="AV11" s="128" t="str">
        <f t="shared" ca="1" si="7"/>
        <v/>
      </c>
      <c r="AW11" s="128" t="str">
        <f t="shared" ref="AW11:BF20" ca="1" si="8">IF(AND($C11="Goal",AW$7&gt;=$F11,AW$7&lt;=$F11+$G11-1),2,IF(AND($C11="Milestone",AW$7&gt;=$F11,AW$7&lt;=$F11+$G11-1),1,""))</f>
        <v/>
      </c>
      <c r="AX11" s="128" t="str">
        <f t="shared" ca="1" si="8"/>
        <v/>
      </c>
      <c r="AY11" s="128" t="str">
        <f t="shared" ca="1" si="8"/>
        <v/>
      </c>
      <c r="AZ11" s="128" t="str">
        <f t="shared" ca="1" si="8"/>
        <v/>
      </c>
      <c r="BA11" s="128" t="str">
        <f t="shared" ca="1" si="8"/>
        <v/>
      </c>
      <c r="BB11" s="128" t="str">
        <f t="shared" ca="1" si="8"/>
        <v/>
      </c>
      <c r="BC11" s="128" t="str">
        <f t="shared" ca="1" si="8"/>
        <v/>
      </c>
      <c r="BD11" s="128" t="str">
        <f t="shared" ca="1" si="8"/>
        <v/>
      </c>
      <c r="BE11" s="128" t="str">
        <f t="shared" ca="1" si="8"/>
        <v/>
      </c>
      <c r="BF11" s="128" t="str">
        <f t="shared" ca="1" si="8"/>
        <v/>
      </c>
      <c r="BG11" s="128" t="str">
        <f t="shared" ref="BG11:BL20" ca="1" si="9">IF(AND($C11="Goal",BG$7&gt;=$F11,BG$7&lt;=$F11+$G11-1),2,IF(AND($C11="Milestone",BG$7&gt;=$F11,BG$7&lt;=$F11+$G11-1),1,""))</f>
        <v/>
      </c>
      <c r="BH11" s="128" t="str">
        <f t="shared" ca="1" si="9"/>
        <v/>
      </c>
      <c r="BI11" s="128" t="str">
        <f t="shared" ca="1" si="9"/>
        <v/>
      </c>
      <c r="BJ11" s="128" t="str">
        <f t="shared" ca="1" si="9"/>
        <v/>
      </c>
      <c r="BK11" s="128" t="str">
        <f t="shared" ca="1" si="9"/>
        <v/>
      </c>
      <c r="BL11" s="128" t="str">
        <f t="shared" ca="1" si="9"/>
        <v/>
      </c>
      <c r="BM11" s="93"/>
      <c r="BP11" s="56"/>
    </row>
    <row r="12" spans="1:68" s="18" customFormat="1" ht="39.75" customHeight="1">
      <c r="A12" s="15"/>
      <c r="B12" s="129" t="s">
        <v>54</v>
      </c>
      <c r="C12" s="122" t="s">
        <v>55</v>
      </c>
      <c r="D12" s="122" t="s">
        <v>56</v>
      </c>
      <c r="E12" s="123">
        <v>0.25</v>
      </c>
      <c r="F12" s="124" t="d">
        <f ca="1">TODAY()</f>
        <v>2026-04-29</v>
      </c>
      <c r="G12" s="125">
        <v>3</v>
      </c>
      <c r="H12" s="126"/>
      <c r="I12" s="127" t="str">
        <f t="shared" ca="1" si="4"/>
        <v/>
      </c>
      <c r="J12" s="128" t="str">
        <f t="shared" ca="1" si="4"/>
        <v/>
      </c>
      <c r="K12" s="128" t="str">
        <f t="shared" ca="1" si="4"/>
        <v/>
      </c>
      <c r="L12" s="128" t="str">
        <f t="shared" ca="1" si="4"/>
        <v/>
      </c>
      <c r="M12" s="128" t="str">
        <f t="shared" ca="1" si="4"/>
        <v/>
      </c>
      <c r="N12" s="128" t="str">
        <f t="shared" ca="1" si="4"/>
        <v/>
      </c>
      <c r="O12" s="128">
        <f t="shared" ca="1" si="4"/>
        <v>2</v>
      </c>
      <c r="P12" s="128">
        <f t="shared" ca="1" si="4"/>
        <v>2</v>
      </c>
      <c r="Q12" s="128">
        <f t="shared" ca="1" si="4"/>
        <v>2</v>
      </c>
      <c r="R12" s="128" t="str">
        <f t="shared" ca="1" si="4"/>
        <v/>
      </c>
      <c r="S12" s="128" t="str">
        <f t="shared" ca="1" si="5"/>
        <v/>
      </c>
      <c r="T12" s="128" t="str">
        <f t="shared" ca="1" si="5"/>
        <v/>
      </c>
      <c r="U12" s="128" t="str">
        <f t="shared" ca="1" si="5"/>
        <v/>
      </c>
      <c r="V12" s="128" t="str">
        <f t="shared" ca="1" si="5"/>
        <v/>
      </c>
      <c r="W12" s="128" t="str">
        <f t="shared" ca="1" si="5"/>
        <v/>
      </c>
      <c r="X12" s="128" t="str">
        <f t="shared" ca="1" si="5"/>
        <v/>
      </c>
      <c r="Y12" s="128" t="str">
        <f t="shared" ca="1" si="5"/>
        <v/>
      </c>
      <c r="Z12" s="128" t="str">
        <f t="shared" ca="1" si="5"/>
        <v/>
      </c>
      <c r="AA12" s="128" t="str">
        <f t="shared" ca="1" si="5"/>
        <v/>
      </c>
      <c r="AB12" s="128" t="str">
        <f t="shared" ca="1" si="5"/>
        <v/>
      </c>
      <c r="AC12" s="128" t="str">
        <f t="shared" ca="1" si="6"/>
        <v/>
      </c>
      <c r="AD12" s="128" t="str">
        <f t="shared" ca="1" si="6"/>
        <v/>
      </c>
      <c r="AE12" s="128" t="str">
        <f t="shared" ca="1" si="6"/>
        <v/>
      </c>
      <c r="AF12" s="128" t="str">
        <f t="shared" ca="1" si="6"/>
        <v/>
      </c>
      <c r="AG12" s="128" t="str">
        <f t="shared" ca="1" si="6"/>
        <v/>
      </c>
      <c r="AH12" s="128" t="str">
        <f t="shared" ca="1" si="6"/>
        <v/>
      </c>
      <c r="AI12" s="128" t="str">
        <f t="shared" ca="1" si="6"/>
        <v/>
      </c>
      <c r="AJ12" s="128" t="str">
        <f t="shared" ca="1" si="6"/>
        <v/>
      </c>
      <c r="AK12" s="128" t="str">
        <f t="shared" ca="1" si="6"/>
        <v/>
      </c>
      <c r="AL12" s="128" t="str">
        <f t="shared" ca="1" si="6"/>
        <v/>
      </c>
      <c r="AM12" s="128" t="str">
        <f t="shared" ca="1" si="7"/>
        <v/>
      </c>
      <c r="AN12" s="128" t="str">
        <f t="shared" ca="1" si="7"/>
        <v/>
      </c>
      <c r="AO12" s="128" t="str">
        <f t="shared" ca="1" si="7"/>
        <v/>
      </c>
      <c r="AP12" s="128" t="str">
        <f t="shared" ca="1" si="7"/>
        <v/>
      </c>
      <c r="AQ12" s="128" t="str">
        <f t="shared" ca="1" si="7"/>
        <v/>
      </c>
      <c r="AR12" s="128" t="str">
        <f t="shared" ca="1" si="7"/>
        <v/>
      </c>
      <c r="AS12" s="128" t="str">
        <f t="shared" ca="1" si="7"/>
        <v/>
      </c>
      <c r="AT12" s="128" t="str">
        <f t="shared" ca="1" si="7"/>
        <v/>
      </c>
      <c r="AU12" s="128" t="str">
        <f t="shared" ca="1" si="7"/>
        <v/>
      </c>
      <c r="AV12" s="128" t="str">
        <f t="shared" ca="1" si="7"/>
        <v/>
      </c>
      <c r="AW12" s="128" t="str">
        <f t="shared" ca="1" si="8"/>
        <v/>
      </c>
      <c r="AX12" s="128" t="str">
        <f t="shared" ca="1" si="8"/>
        <v/>
      </c>
      <c r="AY12" s="128" t="str">
        <f t="shared" ca="1" si="8"/>
        <v/>
      </c>
      <c r="AZ12" s="128" t="str">
        <f t="shared" ca="1" si="8"/>
        <v/>
      </c>
      <c r="BA12" s="128" t="str">
        <f t="shared" ca="1" si="8"/>
        <v/>
      </c>
      <c r="BB12" s="128" t="str">
        <f t="shared" ca="1" si="8"/>
        <v/>
      </c>
      <c r="BC12" s="128" t="str">
        <f t="shared" ca="1" si="8"/>
        <v/>
      </c>
      <c r="BD12" s="128" t="str">
        <f t="shared" ca="1" si="8"/>
        <v/>
      </c>
      <c r="BE12" s="128" t="str">
        <f t="shared" ca="1" si="8"/>
        <v/>
      </c>
      <c r="BF12" s="128" t="str">
        <f t="shared" ca="1" si="8"/>
        <v/>
      </c>
      <c r="BG12" s="128" t="str">
        <f t="shared" ca="1" si="9"/>
        <v/>
      </c>
      <c r="BH12" s="128" t="str">
        <f t="shared" ca="1" si="9"/>
        <v/>
      </c>
      <c r="BI12" s="128" t="str">
        <f t="shared" ca="1" si="9"/>
        <v/>
      </c>
      <c r="BJ12" s="128" t="str">
        <f t="shared" ca="1" si="9"/>
        <v/>
      </c>
      <c r="BK12" s="128" t="str">
        <f t="shared" ca="1" si="9"/>
        <v/>
      </c>
      <c r="BL12" s="128" t="str">
        <f t="shared" ca="1" si="9"/>
        <v/>
      </c>
      <c r="BM12" s="93"/>
    </row>
    <row r="13" spans="1:68" s="18" customFormat="1" ht="39.75" customHeight="1">
      <c r="A13" s="15"/>
      <c r="B13" s="129" t="s">
        <v>57</v>
      </c>
      <c r="C13" s="122" t="s">
        <v>46</v>
      </c>
      <c r="D13" s="122"/>
      <c r="E13" s="123"/>
      <c r="F13" s="124" t="d">
        <f ca="1">TODAY()+5</f>
        <v>2026-05-04</v>
      </c>
      <c r="G13" s="125">
        <v>1</v>
      </c>
      <c r="H13" s="126"/>
      <c r="I13" s="127" t="str">
        <f t="shared" ca="1" si="4"/>
        <v/>
      </c>
      <c r="J13" s="128" t="str">
        <f t="shared" ca="1" si="4"/>
        <v/>
      </c>
      <c r="K13" s="128" t="str">
        <f t="shared" ca="1" si="4"/>
        <v/>
      </c>
      <c r="L13" s="128" t="str">
        <f t="shared" ca="1" si="4"/>
        <v/>
      </c>
      <c r="M13" s="128" t="str">
        <f t="shared" ca="1" si="4"/>
        <v/>
      </c>
      <c r="N13" s="128" t="str">
        <f t="shared" ca="1" si="4"/>
        <v/>
      </c>
      <c r="O13" s="128" t="str">
        <f t="shared" ca="1" si="4"/>
        <v/>
      </c>
      <c r="P13" s="128" t="str">
        <f t="shared" ca="1" si="4"/>
        <v/>
      </c>
      <c r="Q13" s="128" t="str">
        <f t="shared" ca="1" si="4"/>
        <v/>
      </c>
      <c r="R13" s="128" t="str">
        <f t="shared" ca="1" si="4"/>
        <v/>
      </c>
      <c r="S13" s="128" t="str">
        <f t="shared" ca="1" si="5"/>
        <v/>
      </c>
      <c r="T13" s="128">
        <f t="shared" ca="1" si="5"/>
        <v>1</v>
      </c>
      <c r="U13" s="128" t="str">
        <f t="shared" ca="1" si="5"/>
        <v/>
      </c>
      <c r="V13" s="128" t="str">
        <f t="shared" ca="1" si="5"/>
        <v/>
      </c>
      <c r="W13" s="128" t="str">
        <f t="shared" ca="1" si="5"/>
        <v/>
      </c>
      <c r="X13" s="128" t="str">
        <f t="shared" ca="1" si="5"/>
        <v/>
      </c>
      <c r="Y13" s="128" t="str">
        <f t="shared" ca="1" si="5"/>
        <v/>
      </c>
      <c r="Z13" s="128" t="str">
        <f t="shared" ca="1" si="5"/>
        <v/>
      </c>
      <c r="AA13" s="128" t="str">
        <f t="shared" ca="1" si="5"/>
        <v/>
      </c>
      <c r="AB13" s="128" t="str">
        <f t="shared" ca="1" si="5"/>
        <v/>
      </c>
      <c r="AC13" s="128" t="str">
        <f t="shared" ca="1" si="6"/>
        <v/>
      </c>
      <c r="AD13" s="128" t="str">
        <f t="shared" ca="1" si="6"/>
        <v/>
      </c>
      <c r="AE13" s="128" t="str">
        <f t="shared" ca="1" si="6"/>
        <v/>
      </c>
      <c r="AF13" s="128" t="str">
        <f t="shared" ca="1" si="6"/>
        <v/>
      </c>
      <c r="AG13" s="128" t="str">
        <f t="shared" ca="1" si="6"/>
        <v/>
      </c>
      <c r="AH13" s="128" t="str">
        <f t="shared" ca="1" si="6"/>
        <v/>
      </c>
      <c r="AI13" s="128" t="str">
        <f t="shared" ca="1" si="6"/>
        <v/>
      </c>
      <c r="AJ13" s="128" t="str">
        <f t="shared" ca="1" si="6"/>
        <v/>
      </c>
      <c r="AK13" s="128" t="str">
        <f t="shared" ca="1" si="6"/>
        <v/>
      </c>
      <c r="AL13" s="128" t="str">
        <f t="shared" ca="1" si="6"/>
        <v/>
      </c>
      <c r="AM13" s="128" t="str">
        <f t="shared" ca="1" si="7"/>
        <v/>
      </c>
      <c r="AN13" s="128" t="str">
        <f t="shared" ca="1" si="7"/>
        <v/>
      </c>
      <c r="AO13" s="128" t="str">
        <f t="shared" ca="1" si="7"/>
        <v/>
      </c>
      <c r="AP13" s="128" t="str">
        <f t="shared" ca="1" si="7"/>
        <v/>
      </c>
      <c r="AQ13" s="128" t="str">
        <f t="shared" ca="1" si="7"/>
        <v/>
      </c>
      <c r="AR13" s="128" t="str">
        <f t="shared" ca="1" si="7"/>
        <v/>
      </c>
      <c r="AS13" s="128" t="str">
        <f t="shared" ca="1" si="7"/>
        <v/>
      </c>
      <c r="AT13" s="128" t="str">
        <f t="shared" ca="1" si="7"/>
        <v/>
      </c>
      <c r="AU13" s="128" t="str">
        <f t="shared" ca="1" si="7"/>
        <v/>
      </c>
      <c r="AV13" s="128" t="str">
        <f t="shared" ca="1" si="7"/>
        <v/>
      </c>
      <c r="AW13" s="128" t="str">
        <f t="shared" ca="1" si="8"/>
        <v/>
      </c>
      <c r="AX13" s="128" t="str">
        <f t="shared" ca="1" si="8"/>
        <v/>
      </c>
      <c r="AY13" s="128" t="str">
        <f t="shared" ca="1" si="8"/>
        <v/>
      </c>
      <c r="AZ13" s="128" t="str">
        <f t="shared" ca="1" si="8"/>
        <v/>
      </c>
      <c r="BA13" s="128" t="str">
        <f t="shared" ca="1" si="8"/>
        <v/>
      </c>
      <c r="BB13" s="128" t="str">
        <f t="shared" ca="1" si="8"/>
        <v/>
      </c>
      <c r="BC13" s="128" t="str">
        <f t="shared" ca="1" si="8"/>
        <v/>
      </c>
      <c r="BD13" s="128" t="str">
        <f t="shared" ca="1" si="8"/>
        <v/>
      </c>
      <c r="BE13" s="128" t="str">
        <f t="shared" ca="1" si="8"/>
        <v/>
      </c>
      <c r="BF13" s="128" t="str">
        <f t="shared" ca="1" si="8"/>
        <v/>
      </c>
      <c r="BG13" s="128" t="str">
        <f t="shared" ca="1" si="9"/>
        <v/>
      </c>
      <c r="BH13" s="128" t="str">
        <f t="shared" ca="1" si="9"/>
        <v/>
      </c>
      <c r="BI13" s="128" t="str">
        <f t="shared" ca="1" si="9"/>
        <v/>
      </c>
      <c r="BJ13" s="128" t="str">
        <f t="shared" ca="1" si="9"/>
        <v/>
      </c>
      <c r="BK13" s="128" t="str">
        <f t="shared" ca="1" si="9"/>
        <v/>
      </c>
      <c r="BL13" s="128" t="str">
        <f t="shared" ca="1" si="9"/>
        <v/>
      </c>
      <c r="BM13" s="93"/>
    </row>
    <row r="14" spans="1:68" s="18" customFormat="1" ht="39.75" customHeight="1">
      <c r="A14" s="13"/>
      <c r="B14" s="129" t="s">
        <v>58</v>
      </c>
      <c r="C14" s="122" t="s">
        <v>33</v>
      </c>
      <c r="D14" s="122"/>
      <c r="E14" s="123">
        <v>0.5</v>
      </c>
      <c r="F14" s="124" t="d">
        <f ca="1">F12-3</f>
        <v>2026-04-26</v>
      </c>
      <c r="G14" s="125">
        <v>10</v>
      </c>
      <c r="H14" s="126"/>
      <c r="I14" s="127" t="str">
        <f t="shared" ca="1" si="4"/>
        <v/>
      </c>
      <c r="J14" s="128" t="str">
        <f t="shared" ca="1" si="4"/>
        <v/>
      </c>
      <c r="K14" s="128" t="str">
        <f t="shared" ca="1" si="4"/>
        <v/>
      </c>
      <c r="L14" s="128" t="str">
        <f t="shared" ca="1" si="4"/>
        <v/>
      </c>
      <c r="M14" s="128" t="str">
        <f t="shared" ca="1" si="4"/>
        <v/>
      </c>
      <c r="N14" s="128" t="str">
        <f t="shared" ca="1" si="4"/>
        <v/>
      </c>
      <c r="O14" s="128" t="str">
        <f t="shared" ca="1" si="4"/>
        <v/>
      </c>
      <c r="P14" s="128" t="str">
        <f t="shared" ca="1" si="4"/>
        <v/>
      </c>
      <c r="Q14" s="128" t="str">
        <f t="shared" ca="1" si="4"/>
        <v/>
      </c>
      <c r="R14" s="128" t="str">
        <f t="shared" ca="1" si="4"/>
        <v/>
      </c>
      <c r="S14" s="128" t="str">
        <f t="shared" ca="1" si="5"/>
        <v/>
      </c>
      <c r="T14" s="128" t="str">
        <f t="shared" ca="1" si="5"/>
        <v/>
      </c>
      <c r="U14" s="128" t="str">
        <f t="shared" ca="1" si="5"/>
        <v/>
      </c>
      <c r="V14" s="128" t="str">
        <f t="shared" ca="1" si="5"/>
        <v/>
      </c>
      <c r="W14" s="128" t="str">
        <f t="shared" ca="1" si="5"/>
        <v/>
      </c>
      <c r="X14" s="128" t="str">
        <f t="shared" ca="1" si="5"/>
        <v/>
      </c>
      <c r="Y14" s="128" t="str">
        <f t="shared" ca="1" si="5"/>
        <v/>
      </c>
      <c r="Z14" s="128" t="str">
        <f t="shared" ca="1" si="5"/>
        <v/>
      </c>
      <c r="AA14" s="128" t="str">
        <f t="shared" ca="1" si="5"/>
        <v/>
      </c>
      <c r="AB14" s="128" t="str">
        <f t="shared" ca="1" si="5"/>
        <v/>
      </c>
      <c r="AC14" s="128" t="str">
        <f t="shared" ca="1" si="6"/>
        <v/>
      </c>
      <c r="AD14" s="128" t="str">
        <f t="shared" ca="1" si="6"/>
        <v/>
      </c>
      <c r="AE14" s="128" t="str">
        <f t="shared" ca="1" si="6"/>
        <v/>
      </c>
      <c r="AF14" s="128" t="str">
        <f t="shared" ca="1" si="6"/>
        <v/>
      </c>
      <c r="AG14" s="128" t="str">
        <f t="shared" ca="1" si="6"/>
        <v/>
      </c>
      <c r="AH14" s="128" t="str">
        <f t="shared" ca="1" si="6"/>
        <v/>
      </c>
      <c r="AI14" s="128" t="str">
        <f t="shared" ca="1" si="6"/>
        <v/>
      </c>
      <c r="AJ14" s="128" t="str">
        <f t="shared" ca="1" si="6"/>
        <v/>
      </c>
      <c r="AK14" s="128" t="str">
        <f t="shared" ca="1" si="6"/>
        <v/>
      </c>
      <c r="AL14" s="128" t="str">
        <f t="shared" ca="1" si="6"/>
        <v/>
      </c>
      <c r="AM14" s="128" t="str">
        <f t="shared" ca="1" si="7"/>
        <v/>
      </c>
      <c r="AN14" s="128" t="str">
        <f t="shared" ca="1" si="7"/>
        <v/>
      </c>
      <c r="AO14" s="128" t="str">
        <f t="shared" ca="1" si="7"/>
        <v/>
      </c>
      <c r="AP14" s="128" t="str">
        <f t="shared" ca="1" si="7"/>
        <v/>
      </c>
      <c r="AQ14" s="128" t="str">
        <f t="shared" ca="1" si="7"/>
        <v/>
      </c>
      <c r="AR14" s="128" t="str">
        <f t="shared" ca="1" si="7"/>
        <v/>
      </c>
      <c r="AS14" s="128" t="str">
        <f t="shared" ca="1" si="7"/>
        <v/>
      </c>
      <c r="AT14" s="128" t="str">
        <f t="shared" ca="1" si="7"/>
        <v/>
      </c>
      <c r="AU14" s="128" t="str">
        <f t="shared" ca="1" si="7"/>
        <v/>
      </c>
      <c r="AV14" s="128" t="str">
        <f t="shared" ca="1" si="7"/>
        <v/>
      </c>
      <c r="AW14" s="128" t="str">
        <f t="shared" ca="1" si="8"/>
        <v/>
      </c>
      <c r="AX14" s="128" t="str">
        <f t="shared" ca="1" si="8"/>
        <v/>
      </c>
      <c r="AY14" s="128" t="str">
        <f t="shared" ca="1" si="8"/>
        <v/>
      </c>
      <c r="AZ14" s="128" t="str">
        <f t="shared" ca="1" si="8"/>
        <v/>
      </c>
      <c r="BA14" s="128" t="str">
        <f t="shared" ca="1" si="8"/>
        <v/>
      </c>
      <c r="BB14" s="128" t="str">
        <f t="shared" ca="1" si="8"/>
        <v/>
      </c>
      <c r="BC14" s="128" t="str">
        <f t="shared" ca="1" si="8"/>
        <v/>
      </c>
      <c r="BD14" s="128" t="str">
        <f t="shared" ca="1" si="8"/>
        <v/>
      </c>
      <c r="BE14" s="128" t="str">
        <f t="shared" ca="1" si="8"/>
        <v/>
      </c>
      <c r="BF14" s="128" t="str">
        <f t="shared" ca="1" si="8"/>
        <v/>
      </c>
      <c r="BG14" s="128" t="str">
        <f t="shared" ca="1" si="9"/>
        <v/>
      </c>
      <c r="BH14" s="128" t="str">
        <f t="shared" ca="1" si="9"/>
        <v/>
      </c>
      <c r="BI14" s="128" t="str">
        <f t="shared" ca="1" si="9"/>
        <v/>
      </c>
      <c r="BJ14" s="128" t="str">
        <f t="shared" ca="1" si="9"/>
        <v/>
      </c>
      <c r="BK14" s="128" t="str">
        <f t="shared" ca="1" si="9"/>
        <v/>
      </c>
      <c r="BL14" s="128" t="str">
        <f t="shared" ca="1" si="9"/>
        <v/>
      </c>
      <c r="BM14" s="93"/>
    </row>
    <row r="15" spans="1:68" s="18" customFormat="1" ht="39.75" customHeight="1">
      <c r="A15" s="13"/>
      <c r="B15" s="129" t="s">
        <v>59</v>
      </c>
      <c r="C15" s="122" t="s">
        <v>46</v>
      </c>
      <c r="D15" s="122"/>
      <c r="E15" s="123"/>
      <c r="F15" s="124" t="d">
        <f ca="1">F12+20</f>
        <v>2026-05-19</v>
      </c>
      <c r="G15" s="125">
        <v>1</v>
      </c>
      <c r="H15" s="126"/>
      <c r="I15" s="127" t="str">
        <f t="shared" ca="1" si="4"/>
        <v/>
      </c>
      <c r="J15" s="128" t="str">
        <f t="shared" ca="1" si="4"/>
        <v/>
      </c>
      <c r="K15" s="128" t="str">
        <f t="shared" ca="1" si="4"/>
        <v/>
      </c>
      <c r="L15" s="128" t="str">
        <f t="shared" ca="1" si="4"/>
        <v/>
      </c>
      <c r="M15" s="128" t="str">
        <f t="shared" ca="1" si="4"/>
        <v/>
      </c>
      <c r="N15" s="128" t="str">
        <f t="shared" ca="1" si="4"/>
        <v/>
      </c>
      <c r="O15" s="128" t="str">
        <f t="shared" ca="1" si="4"/>
        <v/>
      </c>
      <c r="P15" s="128" t="str">
        <f t="shared" ca="1" si="4"/>
        <v/>
      </c>
      <c r="Q15" s="128" t="str">
        <f t="shared" ca="1" si="4"/>
        <v/>
      </c>
      <c r="R15" s="128" t="str">
        <f t="shared" ca="1" si="4"/>
        <v/>
      </c>
      <c r="S15" s="128" t="str">
        <f t="shared" ca="1" si="5"/>
        <v/>
      </c>
      <c r="T15" s="128" t="str">
        <f t="shared" ca="1" si="5"/>
        <v/>
      </c>
      <c r="U15" s="128" t="str">
        <f t="shared" ca="1" si="5"/>
        <v/>
      </c>
      <c r="V15" s="128" t="str">
        <f t="shared" ca="1" si="5"/>
        <v/>
      </c>
      <c r="W15" s="128" t="str">
        <f t="shared" ca="1" si="5"/>
        <v/>
      </c>
      <c r="X15" s="128" t="str">
        <f t="shared" ca="1" si="5"/>
        <v/>
      </c>
      <c r="Y15" s="128" t="str">
        <f t="shared" ca="1" si="5"/>
        <v/>
      </c>
      <c r="Z15" s="128" t="str">
        <f t="shared" ca="1" si="5"/>
        <v/>
      </c>
      <c r="AA15" s="128" t="str">
        <f t="shared" ca="1" si="5"/>
        <v/>
      </c>
      <c r="AB15" s="128" t="str">
        <f t="shared" ca="1" si="5"/>
        <v/>
      </c>
      <c r="AC15" s="128" t="str">
        <f t="shared" ca="1" si="6"/>
        <v/>
      </c>
      <c r="AD15" s="128" t="str">
        <f t="shared" ca="1" si="6"/>
        <v/>
      </c>
      <c r="AE15" s="128" t="str">
        <f t="shared" ca="1" si="6"/>
        <v/>
      </c>
      <c r="AF15" s="128" t="str">
        <f t="shared" ca="1" si="6"/>
        <v/>
      </c>
      <c r="AG15" s="128" t="str">
        <f t="shared" ca="1" si="6"/>
        <v/>
      </c>
      <c r="AH15" s="128" t="str">
        <f t="shared" ca="1" si="6"/>
        <v/>
      </c>
      <c r="AI15" s="128">
        <f t="shared" ca="1" si="6"/>
        <v>1</v>
      </c>
      <c r="AJ15" s="128" t="str">
        <f t="shared" ca="1" si="6"/>
        <v/>
      </c>
      <c r="AK15" s="128" t="str">
        <f t="shared" ca="1" si="6"/>
        <v/>
      </c>
      <c r="AL15" s="128" t="str">
        <f t="shared" ca="1" si="6"/>
        <v/>
      </c>
      <c r="AM15" s="128" t="str">
        <f t="shared" ca="1" si="7"/>
        <v/>
      </c>
      <c r="AN15" s="128" t="str">
        <f t="shared" ca="1" si="7"/>
        <v/>
      </c>
      <c r="AO15" s="128" t="str">
        <f t="shared" ca="1" si="7"/>
        <v/>
      </c>
      <c r="AP15" s="128" t="str">
        <f t="shared" ca="1" si="7"/>
        <v/>
      </c>
      <c r="AQ15" s="128" t="str">
        <f t="shared" ca="1" si="7"/>
        <v/>
      </c>
      <c r="AR15" s="128" t="str">
        <f t="shared" ca="1" si="7"/>
        <v/>
      </c>
      <c r="AS15" s="128" t="str">
        <f t="shared" ca="1" si="7"/>
        <v/>
      </c>
      <c r="AT15" s="128" t="str">
        <f t="shared" ca="1" si="7"/>
        <v/>
      </c>
      <c r="AU15" s="128" t="str">
        <f t="shared" ca="1" si="7"/>
        <v/>
      </c>
      <c r="AV15" s="128" t="str">
        <f t="shared" ca="1" si="7"/>
        <v/>
      </c>
      <c r="AW15" s="128" t="str">
        <f t="shared" ca="1" si="8"/>
        <v/>
      </c>
      <c r="AX15" s="128" t="str">
        <f t="shared" ca="1" si="8"/>
        <v/>
      </c>
      <c r="AY15" s="128" t="str">
        <f t="shared" ca="1" si="8"/>
        <v/>
      </c>
      <c r="AZ15" s="128" t="str">
        <f t="shared" ca="1" si="8"/>
        <v/>
      </c>
      <c r="BA15" s="128" t="str">
        <f t="shared" ca="1" si="8"/>
        <v/>
      </c>
      <c r="BB15" s="128" t="str">
        <f t="shared" ca="1" si="8"/>
        <v/>
      </c>
      <c r="BC15" s="128" t="str">
        <f t="shared" ca="1" si="8"/>
        <v/>
      </c>
      <c r="BD15" s="128" t="str">
        <f t="shared" ca="1" si="8"/>
        <v/>
      </c>
      <c r="BE15" s="128" t="str">
        <f t="shared" ca="1" si="8"/>
        <v/>
      </c>
      <c r="BF15" s="128" t="str">
        <f t="shared" ca="1" si="8"/>
        <v/>
      </c>
      <c r="BG15" s="128" t="str">
        <f t="shared" ca="1" si="9"/>
        <v/>
      </c>
      <c r="BH15" s="128" t="str">
        <f t="shared" ca="1" si="9"/>
        <v/>
      </c>
      <c r="BI15" s="128" t="str">
        <f t="shared" ca="1" si="9"/>
        <v/>
      </c>
      <c r="BJ15" s="128" t="str">
        <f t="shared" ca="1" si="9"/>
        <v/>
      </c>
      <c r="BK15" s="128" t="str">
        <f t="shared" ca="1" si="9"/>
        <v/>
      </c>
      <c r="BL15" s="128" t="str">
        <f t="shared" ca="1" si="9"/>
        <v/>
      </c>
      <c r="BM15" s="93"/>
    </row>
    <row r="16" spans="1:68" s="18" customFormat="1" ht="39.75" customHeight="1">
      <c r="A16" s="13"/>
      <c r="B16" s="129" t="s">
        <v>41</v>
      </c>
      <c r="C16" s="122" t="s">
        <v>39</v>
      </c>
      <c r="D16" s="122"/>
      <c r="E16" s="123">
        <v>0.1</v>
      </c>
      <c r="F16" s="124" t="d">
        <f ca="1">F12+6</f>
        <v>2026-05-05</v>
      </c>
      <c r="G16" s="125">
        <v>6</v>
      </c>
      <c r="H16" s="126"/>
      <c r="I16" s="127" t="str">
        <f t="shared" ca="1" si="4"/>
        <v/>
      </c>
      <c r="J16" s="128" t="str">
        <f t="shared" ca="1" si="4"/>
        <v/>
      </c>
      <c r="K16" s="128" t="str">
        <f t="shared" ca="1" si="4"/>
        <v/>
      </c>
      <c r="L16" s="128" t="str">
        <f t="shared" ca="1" si="4"/>
        <v/>
      </c>
      <c r="M16" s="128" t="str">
        <f t="shared" ca="1" si="4"/>
        <v/>
      </c>
      <c r="N16" s="128" t="str">
        <f t="shared" ca="1" si="4"/>
        <v/>
      </c>
      <c r="O16" s="128" t="str">
        <f t="shared" ca="1" si="4"/>
        <v/>
      </c>
      <c r="P16" s="128" t="str">
        <f t="shared" ca="1" si="4"/>
        <v/>
      </c>
      <c r="Q16" s="128" t="str">
        <f t="shared" ca="1" si="4"/>
        <v/>
      </c>
      <c r="R16" s="128" t="str">
        <f t="shared" ca="1" si="4"/>
        <v/>
      </c>
      <c r="S16" s="128" t="str">
        <f t="shared" ca="1" si="5"/>
        <v/>
      </c>
      <c r="T16" s="128" t="str">
        <f t="shared" ca="1" si="5"/>
        <v/>
      </c>
      <c r="U16" s="128" t="str">
        <f t="shared" ca="1" si="5"/>
        <v/>
      </c>
      <c r="V16" s="128" t="str">
        <f t="shared" ca="1" si="5"/>
        <v/>
      </c>
      <c r="W16" s="128" t="str">
        <f t="shared" ca="1" si="5"/>
        <v/>
      </c>
      <c r="X16" s="128" t="str">
        <f t="shared" ca="1" si="5"/>
        <v/>
      </c>
      <c r="Y16" s="128" t="str">
        <f t="shared" ca="1" si="5"/>
        <v/>
      </c>
      <c r="Z16" s="128" t="str">
        <f t="shared" ca="1" si="5"/>
        <v/>
      </c>
      <c r="AA16" s="128" t="str">
        <f t="shared" ca="1" si="5"/>
        <v/>
      </c>
      <c r="AB16" s="128" t="str">
        <f t="shared" ca="1" si="5"/>
        <v/>
      </c>
      <c r="AC16" s="128" t="str">
        <f t="shared" ca="1" si="6"/>
        <v/>
      </c>
      <c r="AD16" s="128" t="str">
        <f t="shared" ca="1" si="6"/>
        <v/>
      </c>
      <c r="AE16" s="128" t="str">
        <f t="shared" ca="1" si="6"/>
        <v/>
      </c>
      <c r="AF16" s="128" t="str">
        <f t="shared" ca="1" si="6"/>
        <v/>
      </c>
      <c r="AG16" s="128" t="str">
        <f t="shared" ca="1" si="6"/>
        <v/>
      </c>
      <c r="AH16" s="128" t="str">
        <f t="shared" ca="1" si="6"/>
        <v/>
      </c>
      <c r="AI16" s="128" t="str">
        <f t="shared" ca="1" si="6"/>
        <v/>
      </c>
      <c r="AJ16" s="128" t="str">
        <f t="shared" ca="1" si="6"/>
        <v/>
      </c>
      <c r="AK16" s="128" t="str">
        <f t="shared" ca="1" si="6"/>
        <v/>
      </c>
      <c r="AL16" s="128" t="str">
        <f t="shared" ca="1" si="6"/>
        <v/>
      </c>
      <c r="AM16" s="128" t="str">
        <f t="shared" ca="1" si="7"/>
        <v/>
      </c>
      <c r="AN16" s="128" t="str">
        <f t="shared" ca="1" si="7"/>
        <v/>
      </c>
      <c r="AO16" s="128" t="str">
        <f t="shared" ca="1" si="7"/>
        <v/>
      </c>
      <c r="AP16" s="128" t="str">
        <f t="shared" ca="1" si="7"/>
        <v/>
      </c>
      <c r="AQ16" s="128" t="str">
        <f t="shared" ca="1" si="7"/>
        <v/>
      </c>
      <c r="AR16" s="128" t="str">
        <f t="shared" ca="1" si="7"/>
        <v/>
      </c>
      <c r="AS16" s="128" t="str">
        <f t="shared" ca="1" si="7"/>
        <v/>
      </c>
      <c r="AT16" s="128" t="str">
        <f t="shared" ca="1" si="7"/>
        <v/>
      </c>
      <c r="AU16" s="128" t="str">
        <f t="shared" ca="1" si="7"/>
        <v/>
      </c>
      <c r="AV16" s="128" t="str">
        <f t="shared" ca="1" si="7"/>
        <v/>
      </c>
      <c r="AW16" s="128" t="str">
        <f t="shared" ca="1" si="8"/>
        <v/>
      </c>
      <c r="AX16" s="128" t="str">
        <f t="shared" ca="1" si="8"/>
        <v/>
      </c>
      <c r="AY16" s="128" t="str">
        <f t="shared" ca="1" si="8"/>
        <v/>
      </c>
      <c r="AZ16" s="128" t="str">
        <f t="shared" ca="1" si="8"/>
        <v/>
      </c>
      <c r="BA16" s="128" t="str">
        <f t="shared" ca="1" si="8"/>
        <v/>
      </c>
      <c r="BB16" s="128" t="str">
        <f t="shared" ca="1" si="8"/>
        <v/>
      </c>
      <c r="BC16" s="128" t="str">
        <f t="shared" ca="1" si="8"/>
        <v/>
      </c>
      <c r="BD16" s="128" t="str">
        <f t="shared" ca="1" si="8"/>
        <v/>
      </c>
      <c r="BE16" s="128" t="str">
        <f t="shared" ca="1" si="8"/>
        <v/>
      </c>
      <c r="BF16" s="128" t="str">
        <f t="shared" ca="1" si="8"/>
        <v/>
      </c>
      <c r="BG16" s="128" t="str">
        <f t="shared" ca="1" si="9"/>
        <v/>
      </c>
      <c r="BH16" s="128" t="str">
        <f t="shared" ca="1" si="9"/>
        <v/>
      </c>
      <c r="BI16" s="128" t="str">
        <f t="shared" ca="1" si="9"/>
        <v/>
      </c>
      <c r="BJ16" s="128" t="str">
        <f t="shared" ca="1" si="9"/>
        <v/>
      </c>
      <c r="BK16" s="128" t="str">
        <f t="shared" ca="1" si="9"/>
        <v/>
      </c>
      <c r="BL16" s="128" t="str">
        <f t="shared" ca="1" si="9"/>
        <v/>
      </c>
      <c r="BM16" s="93"/>
    </row>
    <row r="17" spans="1:65" s="18" customFormat="1" ht="39.75" customHeight="1">
      <c r="A17" s="15"/>
      <c r="B17" s="121" t="s">
        <v>60</v>
      </c>
      <c r="C17" s="122"/>
      <c r="D17" s="122"/>
      <c r="E17" s="123"/>
      <c r="F17" s="124"/>
      <c r="G17" s="125"/>
      <c r="H17" s="126"/>
      <c r="I17" s="127" t="str">
        <f t="shared" ca="1" si="4"/>
        <v/>
      </c>
      <c r="J17" s="128" t="str">
        <f t="shared" ca="1" si="4"/>
        <v/>
      </c>
      <c r="K17" s="128" t="str">
        <f t="shared" ca="1" si="4"/>
        <v/>
      </c>
      <c r="L17" s="128" t="str">
        <f t="shared" ca="1" si="4"/>
        <v/>
      </c>
      <c r="M17" s="128" t="str">
        <f t="shared" ca="1" si="4"/>
        <v/>
      </c>
      <c r="N17" s="128" t="str">
        <f t="shared" ca="1" si="4"/>
        <v/>
      </c>
      <c r="O17" s="128" t="str">
        <f t="shared" ca="1" si="4"/>
        <v/>
      </c>
      <c r="P17" s="128" t="str">
        <f t="shared" ca="1" si="4"/>
        <v/>
      </c>
      <c r="Q17" s="128" t="str">
        <f t="shared" ca="1" si="4"/>
        <v/>
      </c>
      <c r="R17" s="128" t="str">
        <f t="shared" ca="1" si="4"/>
        <v/>
      </c>
      <c r="S17" s="128" t="str">
        <f t="shared" ca="1" si="5"/>
        <v/>
      </c>
      <c r="T17" s="128" t="str">
        <f t="shared" ca="1" si="5"/>
        <v/>
      </c>
      <c r="U17" s="128" t="str">
        <f t="shared" ca="1" si="5"/>
        <v/>
      </c>
      <c r="V17" s="128" t="str">
        <f t="shared" ca="1" si="5"/>
        <v/>
      </c>
      <c r="W17" s="128" t="str">
        <f t="shared" ca="1" si="5"/>
        <v/>
      </c>
      <c r="X17" s="128" t="str">
        <f t="shared" ca="1" si="5"/>
        <v/>
      </c>
      <c r="Y17" s="128" t="str">
        <f t="shared" ca="1" si="5"/>
        <v/>
      </c>
      <c r="Z17" s="128" t="str">
        <f t="shared" ca="1" si="5"/>
        <v/>
      </c>
      <c r="AA17" s="128" t="str">
        <f t="shared" ca="1" si="5"/>
        <v/>
      </c>
      <c r="AB17" s="128" t="str">
        <f t="shared" ca="1" si="5"/>
        <v/>
      </c>
      <c r="AC17" s="128" t="str">
        <f t="shared" ca="1" si="6"/>
        <v/>
      </c>
      <c r="AD17" s="128" t="str">
        <f t="shared" ca="1" si="6"/>
        <v/>
      </c>
      <c r="AE17" s="128" t="str">
        <f t="shared" ca="1" si="6"/>
        <v/>
      </c>
      <c r="AF17" s="128" t="str">
        <f t="shared" ca="1" si="6"/>
        <v/>
      </c>
      <c r="AG17" s="128" t="str">
        <f t="shared" ca="1" si="6"/>
        <v/>
      </c>
      <c r="AH17" s="128" t="str">
        <f t="shared" ca="1" si="6"/>
        <v/>
      </c>
      <c r="AI17" s="128" t="str">
        <f t="shared" ca="1" si="6"/>
        <v/>
      </c>
      <c r="AJ17" s="128" t="str">
        <f t="shared" ca="1" si="6"/>
        <v/>
      </c>
      <c r="AK17" s="128" t="str">
        <f t="shared" ca="1" si="6"/>
        <v/>
      </c>
      <c r="AL17" s="128" t="str">
        <f t="shared" ca="1" si="6"/>
        <v/>
      </c>
      <c r="AM17" s="128" t="str">
        <f t="shared" ca="1" si="7"/>
        <v/>
      </c>
      <c r="AN17" s="128" t="str">
        <f t="shared" ca="1" si="7"/>
        <v/>
      </c>
      <c r="AO17" s="128" t="str">
        <f t="shared" ca="1" si="7"/>
        <v/>
      </c>
      <c r="AP17" s="128" t="str">
        <f t="shared" ca="1" si="7"/>
        <v/>
      </c>
      <c r="AQ17" s="128" t="str">
        <f t="shared" ca="1" si="7"/>
        <v/>
      </c>
      <c r="AR17" s="128" t="str">
        <f t="shared" ca="1" si="7"/>
        <v/>
      </c>
      <c r="AS17" s="128" t="str">
        <f t="shared" ca="1" si="7"/>
        <v/>
      </c>
      <c r="AT17" s="128" t="str">
        <f t="shared" ca="1" si="7"/>
        <v/>
      </c>
      <c r="AU17" s="128" t="str">
        <f t="shared" ca="1" si="7"/>
        <v/>
      </c>
      <c r="AV17" s="128" t="str">
        <f t="shared" ca="1" si="7"/>
        <v/>
      </c>
      <c r="AW17" s="128" t="str">
        <f t="shared" ca="1" si="8"/>
        <v/>
      </c>
      <c r="AX17" s="128" t="str">
        <f t="shared" ca="1" si="8"/>
        <v/>
      </c>
      <c r="AY17" s="128" t="str">
        <f t="shared" ca="1" si="8"/>
        <v/>
      </c>
      <c r="AZ17" s="128" t="str">
        <f t="shared" ca="1" si="8"/>
        <v/>
      </c>
      <c r="BA17" s="128" t="str">
        <f t="shared" ca="1" si="8"/>
        <v/>
      </c>
      <c r="BB17" s="128" t="str">
        <f t="shared" ca="1" si="8"/>
        <v/>
      </c>
      <c r="BC17" s="128" t="str">
        <f t="shared" ca="1" si="8"/>
        <v/>
      </c>
      <c r="BD17" s="128" t="str">
        <f t="shared" ca="1" si="8"/>
        <v/>
      </c>
      <c r="BE17" s="128" t="str">
        <f t="shared" ca="1" si="8"/>
        <v/>
      </c>
      <c r="BF17" s="128" t="str">
        <f t="shared" ca="1" si="8"/>
        <v/>
      </c>
      <c r="BG17" s="128" t="str">
        <f t="shared" ca="1" si="9"/>
        <v/>
      </c>
      <c r="BH17" s="128" t="str">
        <f t="shared" ca="1" si="9"/>
        <v/>
      </c>
      <c r="BI17" s="128" t="str">
        <f t="shared" ca="1" si="9"/>
        <v/>
      </c>
      <c r="BJ17" s="128" t="str">
        <f t="shared" ca="1" si="9"/>
        <v/>
      </c>
      <c r="BK17" s="128" t="str">
        <f t="shared" ca="1" si="9"/>
        <v/>
      </c>
      <c r="BL17" s="128" t="str">
        <f t="shared" ca="1" si="9"/>
        <v/>
      </c>
      <c r="BM17" s="93"/>
    </row>
    <row r="18" spans="1:65" s="18" customFormat="1" ht="39.75" customHeight="1">
      <c r="A18" s="15"/>
      <c r="B18" s="129" t="s">
        <v>54</v>
      </c>
      <c r="C18" s="122" t="s">
        <v>61</v>
      </c>
      <c r="D18" s="122"/>
      <c r="E18" s="123">
        <v>0.6</v>
      </c>
      <c r="F18" s="124" t="d">
        <f ca="1">F12+6</f>
        <v>2026-05-05</v>
      </c>
      <c r="G18" s="125">
        <v>13</v>
      </c>
      <c r="H18" s="126"/>
      <c r="I18" s="127" t="str">
        <f t="shared" ca="1" si="4"/>
        <v/>
      </c>
      <c r="J18" s="128" t="str">
        <f t="shared" ca="1" si="4"/>
        <v/>
      </c>
      <c r="K18" s="128" t="str">
        <f t="shared" ca="1" si="4"/>
        <v/>
      </c>
      <c r="L18" s="128" t="str">
        <f t="shared" ca="1" si="4"/>
        <v/>
      </c>
      <c r="M18" s="128" t="str">
        <f t="shared" ca="1" si="4"/>
        <v/>
      </c>
      <c r="N18" s="128" t="str">
        <f t="shared" ca="1" si="4"/>
        <v/>
      </c>
      <c r="O18" s="128" t="str">
        <f t="shared" ca="1" si="4"/>
        <v/>
      </c>
      <c r="P18" s="128" t="str">
        <f t="shared" ca="1" si="4"/>
        <v/>
      </c>
      <c r="Q18" s="128" t="str">
        <f t="shared" ca="1" si="4"/>
        <v/>
      </c>
      <c r="R18" s="128" t="str">
        <f t="shared" ca="1" si="4"/>
        <v/>
      </c>
      <c r="S18" s="128" t="str">
        <f t="shared" ca="1" si="5"/>
        <v/>
      </c>
      <c r="T18" s="128" t="str">
        <f t="shared" ca="1" si="5"/>
        <v/>
      </c>
      <c r="U18" s="128" t="str">
        <f t="shared" ca="1" si="5"/>
        <v/>
      </c>
      <c r="V18" s="128" t="str">
        <f t="shared" ca="1" si="5"/>
        <v/>
      </c>
      <c r="W18" s="128" t="str">
        <f t="shared" ca="1" si="5"/>
        <v/>
      </c>
      <c r="X18" s="128" t="str">
        <f t="shared" ca="1" si="5"/>
        <v/>
      </c>
      <c r="Y18" s="128" t="str">
        <f t="shared" ca="1" si="5"/>
        <v/>
      </c>
      <c r="Z18" s="128" t="str">
        <f t="shared" ca="1" si="5"/>
        <v/>
      </c>
      <c r="AA18" s="128" t="str">
        <f t="shared" ca="1" si="5"/>
        <v/>
      </c>
      <c r="AB18" s="128" t="str">
        <f t="shared" ca="1" si="5"/>
        <v/>
      </c>
      <c r="AC18" s="128" t="str">
        <f t="shared" ca="1" si="6"/>
        <v/>
      </c>
      <c r="AD18" s="128" t="str">
        <f t="shared" ca="1" si="6"/>
        <v/>
      </c>
      <c r="AE18" s="128" t="str">
        <f t="shared" ca="1" si="6"/>
        <v/>
      </c>
      <c r="AF18" s="128" t="str">
        <f t="shared" ca="1" si="6"/>
        <v/>
      </c>
      <c r="AG18" s="128" t="str">
        <f t="shared" ca="1" si="6"/>
        <v/>
      </c>
      <c r="AH18" s="128" t="str">
        <f t="shared" ca="1" si="6"/>
        <v/>
      </c>
      <c r="AI18" s="128" t="str">
        <f t="shared" ca="1" si="6"/>
        <v/>
      </c>
      <c r="AJ18" s="128" t="str">
        <f t="shared" ca="1" si="6"/>
        <v/>
      </c>
      <c r="AK18" s="128" t="str">
        <f t="shared" ca="1" si="6"/>
        <v/>
      </c>
      <c r="AL18" s="128" t="str">
        <f t="shared" ca="1" si="6"/>
        <v/>
      </c>
      <c r="AM18" s="128" t="str">
        <f t="shared" ca="1" si="7"/>
        <v/>
      </c>
      <c r="AN18" s="128" t="str">
        <f t="shared" ca="1" si="7"/>
        <v/>
      </c>
      <c r="AO18" s="128" t="str">
        <f t="shared" ca="1" si="7"/>
        <v/>
      </c>
      <c r="AP18" s="128" t="str">
        <f t="shared" ca="1" si="7"/>
        <v/>
      </c>
      <c r="AQ18" s="128" t="str">
        <f t="shared" ca="1" si="7"/>
        <v/>
      </c>
      <c r="AR18" s="128" t="str">
        <f t="shared" ca="1" si="7"/>
        <v/>
      </c>
      <c r="AS18" s="128" t="str">
        <f t="shared" ca="1" si="7"/>
        <v/>
      </c>
      <c r="AT18" s="128" t="str">
        <f t="shared" ca="1" si="7"/>
        <v/>
      </c>
      <c r="AU18" s="128" t="str">
        <f t="shared" ca="1" si="7"/>
        <v/>
      </c>
      <c r="AV18" s="128" t="str">
        <f t="shared" ca="1" si="7"/>
        <v/>
      </c>
      <c r="AW18" s="128" t="str">
        <f t="shared" ca="1" si="8"/>
        <v/>
      </c>
      <c r="AX18" s="128" t="str">
        <f t="shared" ca="1" si="8"/>
        <v/>
      </c>
      <c r="AY18" s="128" t="str">
        <f t="shared" ca="1" si="8"/>
        <v/>
      </c>
      <c r="AZ18" s="128" t="str">
        <f t="shared" ca="1" si="8"/>
        <v/>
      </c>
      <c r="BA18" s="128" t="str">
        <f t="shared" ca="1" si="8"/>
        <v/>
      </c>
      <c r="BB18" s="128" t="str">
        <f t="shared" ca="1" si="8"/>
        <v/>
      </c>
      <c r="BC18" s="128" t="str">
        <f t="shared" ca="1" si="8"/>
        <v/>
      </c>
      <c r="BD18" s="128" t="str">
        <f t="shared" ca="1" si="8"/>
        <v/>
      </c>
      <c r="BE18" s="128" t="str">
        <f t="shared" ca="1" si="8"/>
        <v/>
      </c>
      <c r="BF18" s="128" t="str">
        <f t="shared" ca="1" si="8"/>
        <v/>
      </c>
      <c r="BG18" s="128" t="str">
        <f t="shared" ca="1" si="9"/>
        <v/>
      </c>
      <c r="BH18" s="128" t="str">
        <f t="shared" ca="1" si="9"/>
        <v/>
      </c>
      <c r="BI18" s="128" t="str">
        <f t="shared" ca="1" si="9"/>
        <v/>
      </c>
      <c r="BJ18" s="128" t="str">
        <f t="shared" ca="1" si="9"/>
        <v/>
      </c>
      <c r="BK18" s="128" t="str">
        <f t="shared" ca="1" si="9"/>
        <v/>
      </c>
      <c r="BL18" s="128" t="str">
        <f t="shared" ca="1" si="9"/>
        <v/>
      </c>
      <c r="BM18" s="93"/>
    </row>
    <row r="19" spans="1:65" s="18" customFormat="1" ht="39.75" customHeight="1">
      <c r="A19" s="13"/>
      <c r="B19" s="129" t="s">
        <v>57</v>
      </c>
      <c r="C19" s="122" t="s">
        <v>36</v>
      </c>
      <c r="D19" s="122"/>
      <c r="E19" s="123">
        <v>0.5</v>
      </c>
      <c r="F19" s="124" t="d">
        <f ca="1">F18+2</f>
        <v>2026-05-07</v>
      </c>
      <c r="G19" s="125">
        <v>9</v>
      </c>
      <c r="H19" s="126"/>
      <c r="I19" s="127" t="str">
        <f t="shared" ca="1" si="4"/>
        <v/>
      </c>
      <c r="J19" s="128" t="str">
        <f t="shared" ca="1" si="4"/>
        <v/>
      </c>
      <c r="K19" s="128" t="str">
        <f t="shared" ca="1" si="4"/>
        <v/>
      </c>
      <c r="L19" s="128" t="str">
        <f t="shared" ca="1" si="4"/>
        <v/>
      </c>
      <c r="M19" s="128" t="str">
        <f t="shared" ca="1" si="4"/>
        <v/>
      </c>
      <c r="N19" s="128" t="str">
        <f t="shared" ca="1" si="4"/>
        <v/>
      </c>
      <c r="O19" s="128" t="str">
        <f t="shared" ca="1" si="4"/>
        <v/>
      </c>
      <c r="P19" s="128" t="str">
        <f t="shared" ca="1" si="4"/>
        <v/>
      </c>
      <c r="Q19" s="128" t="str">
        <f t="shared" ca="1" si="4"/>
        <v/>
      </c>
      <c r="R19" s="128" t="str">
        <f t="shared" ca="1" si="4"/>
        <v/>
      </c>
      <c r="S19" s="128" t="str">
        <f t="shared" ca="1" si="5"/>
        <v/>
      </c>
      <c r="T19" s="128" t="str">
        <f t="shared" ca="1" si="5"/>
        <v/>
      </c>
      <c r="U19" s="128" t="str">
        <f t="shared" ca="1" si="5"/>
        <v/>
      </c>
      <c r="V19" s="128" t="str">
        <f t="shared" ca="1" si="5"/>
        <v/>
      </c>
      <c r="W19" s="128" t="str">
        <f t="shared" ca="1" si="5"/>
        <v/>
      </c>
      <c r="X19" s="128" t="str">
        <f t="shared" ca="1" si="5"/>
        <v/>
      </c>
      <c r="Y19" s="128" t="str">
        <f t="shared" ca="1" si="5"/>
        <v/>
      </c>
      <c r="Z19" s="128" t="str">
        <f t="shared" ca="1" si="5"/>
        <v/>
      </c>
      <c r="AA19" s="128" t="str">
        <f t="shared" ca="1" si="5"/>
        <v/>
      </c>
      <c r="AB19" s="128" t="str">
        <f t="shared" ca="1" si="5"/>
        <v/>
      </c>
      <c r="AC19" s="128" t="str">
        <f t="shared" ca="1" si="6"/>
        <v/>
      </c>
      <c r="AD19" s="128" t="str">
        <f t="shared" ca="1" si="6"/>
        <v/>
      </c>
      <c r="AE19" s="128" t="str">
        <f t="shared" ca="1" si="6"/>
        <v/>
      </c>
      <c r="AF19" s="128" t="str">
        <f t="shared" ca="1" si="6"/>
        <v/>
      </c>
      <c r="AG19" s="128" t="str">
        <f t="shared" ca="1" si="6"/>
        <v/>
      </c>
      <c r="AH19" s="128" t="str">
        <f t="shared" ca="1" si="6"/>
        <v/>
      </c>
      <c r="AI19" s="128" t="str">
        <f t="shared" ca="1" si="6"/>
        <v/>
      </c>
      <c r="AJ19" s="128" t="str">
        <f t="shared" ca="1" si="6"/>
        <v/>
      </c>
      <c r="AK19" s="128" t="str">
        <f t="shared" ca="1" si="6"/>
        <v/>
      </c>
      <c r="AL19" s="128" t="str">
        <f t="shared" ca="1" si="6"/>
        <v/>
      </c>
      <c r="AM19" s="128" t="str">
        <f t="shared" ca="1" si="7"/>
        <v/>
      </c>
      <c r="AN19" s="128" t="str">
        <f t="shared" ca="1" si="7"/>
        <v/>
      </c>
      <c r="AO19" s="128" t="str">
        <f t="shared" ca="1" si="7"/>
        <v/>
      </c>
      <c r="AP19" s="128" t="str">
        <f t="shared" ca="1" si="7"/>
        <v/>
      </c>
      <c r="AQ19" s="128" t="str">
        <f t="shared" ca="1" si="7"/>
        <v/>
      </c>
      <c r="AR19" s="128" t="str">
        <f t="shared" ca="1" si="7"/>
        <v/>
      </c>
      <c r="AS19" s="128" t="str">
        <f t="shared" ca="1" si="7"/>
        <v/>
      </c>
      <c r="AT19" s="128" t="str">
        <f t="shared" ca="1" si="7"/>
        <v/>
      </c>
      <c r="AU19" s="128" t="str">
        <f t="shared" ca="1" si="7"/>
        <v/>
      </c>
      <c r="AV19" s="128" t="str">
        <f t="shared" ca="1" si="7"/>
        <v/>
      </c>
      <c r="AW19" s="128" t="str">
        <f t="shared" ca="1" si="8"/>
        <v/>
      </c>
      <c r="AX19" s="128" t="str">
        <f t="shared" ca="1" si="8"/>
        <v/>
      </c>
      <c r="AY19" s="128" t="str">
        <f t="shared" ca="1" si="8"/>
        <v/>
      </c>
      <c r="AZ19" s="128" t="str">
        <f t="shared" ca="1" si="8"/>
        <v/>
      </c>
      <c r="BA19" s="128" t="str">
        <f t="shared" ca="1" si="8"/>
        <v/>
      </c>
      <c r="BB19" s="128" t="str">
        <f t="shared" ca="1" si="8"/>
        <v/>
      </c>
      <c r="BC19" s="128" t="str">
        <f t="shared" ca="1" si="8"/>
        <v/>
      </c>
      <c r="BD19" s="128" t="str">
        <f t="shared" ca="1" si="8"/>
        <v/>
      </c>
      <c r="BE19" s="128" t="str">
        <f t="shared" ca="1" si="8"/>
        <v/>
      </c>
      <c r="BF19" s="128" t="str">
        <f t="shared" ca="1" si="8"/>
        <v/>
      </c>
      <c r="BG19" s="128" t="str">
        <f t="shared" ca="1" si="9"/>
        <v/>
      </c>
      <c r="BH19" s="128" t="str">
        <f t="shared" ca="1" si="9"/>
        <v/>
      </c>
      <c r="BI19" s="128" t="str">
        <f t="shared" ca="1" si="9"/>
        <v/>
      </c>
      <c r="BJ19" s="128" t="str">
        <f t="shared" ca="1" si="9"/>
        <v/>
      </c>
      <c r="BK19" s="128" t="str">
        <f t="shared" ca="1" si="9"/>
        <v/>
      </c>
      <c r="BL19" s="128" t="str">
        <f t="shared" ca="1" si="9"/>
        <v/>
      </c>
      <c r="BM19" s="93"/>
    </row>
    <row r="20" spans="1:65" s="18" customFormat="1" ht="39.75" customHeight="1">
      <c r="A20" s="13"/>
      <c r="B20" s="129" t="s">
        <v>58</v>
      </c>
      <c r="C20" s="122" t="s">
        <v>33</v>
      </c>
      <c r="D20" s="122"/>
      <c r="E20" s="123">
        <v>0.33</v>
      </c>
      <c r="F20" s="124" t="d">
        <f ca="1">F19+5</f>
        <v>2026-05-12</v>
      </c>
      <c r="G20" s="125">
        <v>11</v>
      </c>
      <c r="H20" s="126"/>
      <c r="I20" s="127" t="str">
        <f t="shared" ca="1" si="4"/>
        <v/>
      </c>
      <c r="J20" s="128" t="str">
        <f t="shared" ca="1" si="4"/>
        <v/>
      </c>
      <c r="K20" s="128" t="str">
        <f t="shared" ca="1" si="4"/>
        <v/>
      </c>
      <c r="L20" s="128" t="str">
        <f t="shared" ca="1" si="4"/>
        <v/>
      </c>
      <c r="M20" s="128" t="str">
        <f t="shared" ca="1" si="4"/>
        <v/>
      </c>
      <c r="N20" s="128" t="str">
        <f t="shared" ca="1" si="4"/>
        <v/>
      </c>
      <c r="O20" s="128" t="str">
        <f t="shared" ca="1" si="4"/>
        <v/>
      </c>
      <c r="P20" s="128" t="str">
        <f t="shared" ca="1" si="4"/>
        <v/>
      </c>
      <c r="Q20" s="128" t="str">
        <f t="shared" ca="1" si="4"/>
        <v/>
      </c>
      <c r="R20" s="128" t="str">
        <f t="shared" ca="1" si="4"/>
        <v/>
      </c>
      <c r="S20" s="128" t="str">
        <f t="shared" ca="1" si="5"/>
        <v/>
      </c>
      <c r="T20" s="128" t="str">
        <f t="shared" ca="1" si="5"/>
        <v/>
      </c>
      <c r="U20" s="128" t="str">
        <f t="shared" ca="1" si="5"/>
        <v/>
      </c>
      <c r="V20" s="128" t="str">
        <f t="shared" ca="1" si="5"/>
        <v/>
      </c>
      <c r="W20" s="128" t="str">
        <f t="shared" ca="1" si="5"/>
        <v/>
      </c>
      <c r="X20" s="128" t="str">
        <f t="shared" ca="1" si="5"/>
        <v/>
      </c>
      <c r="Y20" s="128" t="str">
        <f t="shared" ca="1" si="5"/>
        <v/>
      </c>
      <c r="Z20" s="128" t="str">
        <f t="shared" ca="1" si="5"/>
        <v/>
      </c>
      <c r="AA20" s="128" t="str">
        <f t="shared" ca="1" si="5"/>
        <v/>
      </c>
      <c r="AB20" s="128" t="str">
        <f t="shared" ca="1" si="5"/>
        <v/>
      </c>
      <c r="AC20" s="128" t="str">
        <f t="shared" ca="1" si="6"/>
        <v/>
      </c>
      <c r="AD20" s="128" t="str">
        <f t="shared" ca="1" si="6"/>
        <v/>
      </c>
      <c r="AE20" s="128" t="str">
        <f t="shared" ca="1" si="6"/>
        <v/>
      </c>
      <c r="AF20" s="128" t="str">
        <f t="shared" ca="1" si="6"/>
        <v/>
      </c>
      <c r="AG20" s="128" t="str">
        <f t="shared" ca="1" si="6"/>
        <v/>
      </c>
      <c r="AH20" s="128" t="str">
        <f t="shared" ca="1" si="6"/>
        <v/>
      </c>
      <c r="AI20" s="128" t="str">
        <f t="shared" ca="1" si="6"/>
        <v/>
      </c>
      <c r="AJ20" s="128" t="str">
        <f t="shared" ca="1" si="6"/>
        <v/>
      </c>
      <c r="AK20" s="128" t="str">
        <f t="shared" ca="1" si="6"/>
        <v/>
      </c>
      <c r="AL20" s="128" t="str">
        <f t="shared" ca="1" si="6"/>
        <v/>
      </c>
      <c r="AM20" s="128" t="str">
        <f t="shared" ca="1" si="7"/>
        <v/>
      </c>
      <c r="AN20" s="128" t="str">
        <f t="shared" ca="1" si="7"/>
        <v/>
      </c>
      <c r="AO20" s="128" t="str">
        <f t="shared" ca="1" si="7"/>
        <v/>
      </c>
      <c r="AP20" s="128" t="str">
        <f t="shared" ca="1" si="7"/>
        <v/>
      </c>
      <c r="AQ20" s="128" t="str">
        <f t="shared" ca="1" si="7"/>
        <v/>
      </c>
      <c r="AR20" s="128" t="str">
        <f t="shared" ca="1" si="7"/>
        <v/>
      </c>
      <c r="AS20" s="128" t="str">
        <f t="shared" ca="1" si="7"/>
        <v/>
      </c>
      <c r="AT20" s="128" t="str">
        <f t="shared" ca="1" si="7"/>
        <v/>
      </c>
      <c r="AU20" s="128" t="str">
        <f t="shared" ca="1" si="7"/>
        <v/>
      </c>
      <c r="AV20" s="128" t="str">
        <f t="shared" ca="1" si="7"/>
        <v/>
      </c>
      <c r="AW20" s="128" t="str">
        <f t="shared" ca="1" si="8"/>
        <v/>
      </c>
      <c r="AX20" s="128" t="str">
        <f t="shared" ca="1" si="8"/>
        <v/>
      </c>
      <c r="AY20" s="128" t="str">
        <f t="shared" ca="1" si="8"/>
        <v/>
      </c>
      <c r="AZ20" s="128" t="str">
        <f t="shared" ca="1" si="8"/>
        <v/>
      </c>
      <c r="BA20" s="128" t="str">
        <f t="shared" ca="1" si="8"/>
        <v/>
      </c>
      <c r="BB20" s="128" t="str">
        <f t="shared" ca="1" si="8"/>
        <v/>
      </c>
      <c r="BC20" s="128" t="str">
        <f t="shared" ca="1" si="8"/>
        <v/>
      </c>
      <c r="BD20" s="128" t="str">
        <f t="shared" ca="1" si="8"/>
        <v/>
      </c>
      <c r="BE20" s="128" t="str">
        <f t="shared" ca="1" si="8"/>
        <v/>
      </c>
      <c r="BF20" s="128" t="str">
        <f t="shared" ca="1" si="8"/>
        <v/>
      </c>
      <c r="BG20" s="128" t="str">
        <f t="shared" ca="1" si="9"/>
        <v/>
      </c>
      <c r="BH20" s="128" t="str">
        <f t="shared" ca="1" si="9"/>
        <v/>
      </c>
      <c r="BI20" s="128" t="str">
        <f t="shared" ca="1" si="9"/>
        <v/>
      </c>
      <c r="BJ20" s="128" t="str">
        <f t="shared" ca="1" si="9"/>
        <v/>
      </c>
      <c r="BK20" s="128" t="str">
        <f t="shared" ca="1" si="9"/>
        <v/>
      </c>
      <c r="BL20" s="128" t="str">
        <f t="shared" ca="1" si="9"/>
        <v/>
      </c>
      <c r="BM20" s="93"/>
    </row>
    <row r="21" spans="1:65" s="18" customFormat="1" ht="39.75" customHeight="1">
      <c r="A21" s="13"/>
      <c r="B21" s="129" t="s">
        <v>59</v>
      </c>
      <c r="C21" s="122" t="s">
        <v>46</v>
      </c>
      <c r="D21" s="122"/>
      <c r="E21" s="123"/>
      <c r="F21" s="124" t="d">
        <f ca="1">F20+2</f>
        <v>2026-05-14</v>
      </c>
      <c r="G21" s="125">
        <v>1</v>
      </c>
      <c r="H21" s="126"/>
      <c r="I21" s="127" t="str">
        <f t="shared" ref="I21:R35" ca="1" si="10">IF(AND($C21="Goal",I$7&gt;=$F21,I$7&lt;=$F21+$G21-1),2,IF(AND($C21="Milestone",I$7&gt;=$F21,I$7&lt;=$F21+$G21-1),1,""))</f>
        <v/>
      </c>
      <c r="J21" s="128" t="str">
        <f t="shared" ca="1" si="10"/>
        <v/>
      </c>
      <c r="K21" s="128" t="str">
        <f t="shared" ca="1" si="10"/>
        <v/>
      </c>
      <c r="L21" s="128" t="str">
        <f t="shared" ca="1" si="10"/>
        <v/>
      </c>
      <c r="M21" s="128" t="str">
        <f t="shared" ca="1" si="10"/>
        <v/>
      </c>
      <c r="N21" s="128" t="str">
        <f t="shared" ca="1" si="10"/>
        <v/>
      </c>
      <c r="O21" s="128" t="str">
        <f t="shared" ca="1" si="10"/>
        <v/>
      </c>
      <c r="P21" s="128" t="str">
        <f t="shared" ca="1" si="10"/>
        <v/>
      </c>
      <c r="Q21" s="128" t="str">
        <f t="shared" ca="1" si="10"/>
        <v/>
      </c>
      <c r="R21" s="128" t="str">
        <f t="shared" ca="1" si="10"/>
        <v/>
      </c>
      <c r="S21" s="128" t="str">
        <f t="shared" ref="S21:AB35" ca="1" si="11">IF(AND($C21="Goal",S$7&gt;=$F21,S$7&lt;=$F21+$G21-1),2,IF(AND($C21="Milestone",S$7&gt;=$F21,S$7&lt;=$F21+$G21-1),1,""))</f>
        <v/>
      </c>
      <c r="T21" s="128" t="str">
        <f t="shared" ca="1" si="11"/>
        <v/>
      </c>
      <c r="U21" s="128" t="str">
        <f t="shared" ca="1" si="11"/>
        <v/>
      </c>
      <c r="V21" s="128" t="str">
        <f t="shared" ca="1" si="11"/>
        <v/>
      </c>
      <c r="W21" s="128" t="str">
        <f t="shared" ca="1" si="11"/>
        <v/>
      </c>
      <c r="X21" s="128" t="str">
        <f t="shared" ca="1" si="11"/>
        <v/>
      </c>
      <c r="Y21" s="128" t="str">
        <f t="shared" ca="1" si="11"/>
        <v/>
      </c>
      <c r="Z21" s="128" t="str">
        <f t="shared" ca="1" si="11"/>
        <v/>
      </c>
      <c r="AA21" s="128" t="str">
        <f t="shared" ca="1" si="11"/>
        <v/>
      </c>
      <c r="AB21" s="128" t="str">
        <f t="shared" ca="1" si="11"/>
        <v/>
      </c>
      <c r="AC21" s="128" t="str">
        <f t="shared" ref="AC21:AL35" ca="1" si="12">IF(AND($C21="Goal",AC$7&gt;=$F21,AC$7&lt;=$F21+$G21-1),2,IF(AND($C21="Milestone",AC$7&gt;=$F21,AC$7&lt;=$F21+$G21-1),1,""))</f>
        <v/>
      </c>
      <c r="AD21" s="128">
        <f t="shared" ca="1" si="12"/>
        <v>1</v>
      </c>
      <c r="AE21" s="128" t="str">
        <f t="shared" ca="1" si="12"/>
        <v/>
      </c>
      <c r="AF21" s="128" t="str">
        <f t="shared" ca="1" si="12"/>
        <v/>
      </c>
      <c r="AG21" s="128" t="str">
        <f t="shared" ca="1" si="12"/>
        <v/>
      </c>
      <c r="AH21" s="128" t="str">
        <f t="shared" ca="1" si="12"/>
        <v/>
      </c>
      <c r="AI21" s="128" t="str">
        <f t="shared" ca="1" si="12"/>
        <v/>
      </c>
      <c r="AJ21" s="128" t="str">
        <f t="shared" ca="1" si="12"/>
        <v/>
      </c>
      <c r="AK21" s="128" t="str">
        <f t="shared" ca="1" si="12"/>
        <v/>
      </c>
      <c r="AL21" s="128" t="str">
        <f t="shared" ca="1" si="12"/>
        <v/>
      </c>
      <c r="AM21" s="128" t="str">
        <f t="shared" ref="AM21:AV35" ca="1" si="13">IF(AND($C21="Goal",AM$7&gt;=$F21,AM$7&lt;=$F21+$G21-1),2,IF(AND($C21="Milestone",AM$7&gt;=$F21,AM$7&lt;=$F21+$G21-1),1,""))</f>
        <v/>
      </c>
      <c r="AN21" s="128" t="str">
        <f t="shared" ca="1" si="13"/>
        <v/>
      </c>
      <c r="AO21" s="128" t="str">
        <f t="shared" ca="1" si="13"/>
        <v/>
      </c>
      <c r="AP21" s="128" t="str">
        <f t="shared" ca="1" si="13"/>
        <v/>
      </c>
      <c r="AQ21" s="128" t="str">
        <f t="shared" ca="1" si="13"/>
        <v/>
      </c>
      <c r="AR21" s="128" t="str">
        <f t="shared" ca="1" si="13"/>
        <v/>
      </c>
      <c r="AS21" s="128" t="str">
        <f t="shared" ca="1" si="13"/>
        <v/>
      </c>
      <c r="AT21" s="128" t="str">
        <f t="shared" ca="1" si="13"/>
        <v/>
      </c>
      <c r="AU21" s="128" t="str">
        <f t="shared" ca="1" si="13"/>
        <v/>
      </c>
      <c r="AV21" s="128" t="str">
        <f t="shared" ca="1" si="13"/>
        <v/>
      </c>
      <c r="AW21" s="128" t="str">
        <f t="shared" ref="AW21:BF35" ca="1" si="14">IF(AND($C21="Goal",AW$7&gt;=$F21,AW$7&lt;=$F21+$G21-1),2,IF(AND($C21="Milestone",AW$7&gt;=$F21,AW$7&lt;=$F21+$G21-1),1,""))</f>
        <v/>
      </c>
      <c r="AX21" s="128" t="str">
        <f t="shared" ca="1" si="14"/>
        <v/>
      </c>
      <c r="AY21" s="128" t="str">
        <f t="shared" ca="1" si="14"/>
        <v/>
      </c>
      <c r="AZ21" s="128" t="str">
        <f t="shared" ca="1" si="14"/>
        <v/>
      </c>
      <c r="BA21" s="128" t="str">
        <f t="shared" ca="1" si="14"/>
        <v/>
      </c>
      <c r="BB21" s="128" t="str">
        <f t="shared" ca="1" si="14"/>
        <v/>
      </c>
      <c r="BC21" s="128" t="str">
        <f t="shared" ca="1" si="14"/>
        <v/>
      </c>
      <c r="BD21" s="128" t="str">
        <f t="shared" ca="1" si="14"/>
        <v/>
      </c>
      <c r="BE21" s="128" t="str">
        <f t="shared" ca="1" si="14"/>
        <v/>
      </c>
      <c r="BF21" s="128" t="str">
        <f t="shared" ca="1" si="14"/>
        <v/>
      </c>
      <c r="BG21" s="128" t="str">
        <f t="shared" ref="BG21:BL35" ca="1" si="15">IF(AND($C21="Goal",BG$7&gt;=$F21,BG$7&lt;=$F21+$G21-1),2,IF(AND($C21="Milestone",BG$7&gt;=$F21,BG$7&lt;=$F21+$G21-1),1,""))</f>
        <v/>
      </c>
      <c r="BH21" s="128" t="str">
        <f t="shared" ca="1" si="15"/>
        <v/>
      </c>
      <c r="BI21" s="128" t="str">
        <f t="shared" ca="1" si="15"/>
        <v/>
      </c>
      <c r="BJ21" s="128" t="str">
        <f t="shared" ca="1" si="15"/>
        <v/>
      </c>
      <c r="BK21" s="128" t="str">
        <f t="shared" ca="1" si="15"/>
        <v/>
      </c>
      <c r="BL21" s="128" t="str">
        <f t="shared" ca="1" si="15"/>
        <v/>
      </c>
      <c r="BM21" s="93"/>
    </row>
    <row r="22" spans="1:65" s="18" customFormat="1" ht="39.75" customHeight="1">
      <c r="A22" s="13"/>
      <c r="B22" s="129" t="s">
        <v>41</v>
      </c>
      <c r="C22" s="122"/>
      <c r="D22" s="122"/>
      <c r="E22" s="123"/>
      <c r="F22" s="124" t="d">
        <f ca="1">F21+1</f>
        <v>2026-05-15</v>
      </c>
      <c r="G22" s="125">
        <v>24</v>
      </c>
      <c r="H22" s="126"/>
      <c r="I22" s="127" t="str">
        <f t="shared" ca="1" si="10"/>
        <v/>
      </c>
      <c r="J22" s="128" t="str">
        <f t="shared" ca="1" si="10"/>
        <v/>
      </c>
      <c r="K22" s="128" t="str">
        <f t="shared" ca="1" si="10"/>
        <v/>
      </c>
      <c r="L22" s="128" t="str">
        <f t="shared" ca="1" si="10"/>
        <v/>
      </c>
      <c r="M22" s="128" t="str">
        <f t="shared" ca="1" si="10"/>
        <v/>
      </c>
      <c r="N22" s="128" t="str">
        <f t="shared" ca="1" si="10"/>
        <v/>
      </c>
      <c r="O22" s="128" t="str">
        <f t="shared" ca="1" si="10"/>
        <v/>
      </c>
      <c r="P22" s="128" t="str">
        <f t="shared" ca="1" si="10"/>
        <v/>
      </c>
      <c r="Q22" s="128" t="str">
        <f t="shared" ca="1" si="10"/>
        <v/>
      </c>
      <c r="R22" s="128" t="str">
        <f t="shared" ca="1" si="10"/>
        <v/>
      </c>
      <c r="S22" s="128" t="str">
        <f t="shared" ca="1" si="11"/>
        <v/>
      </c>
      <c r="T22" s="128" t="str">
        <f t="shared" ca="1" si="11"/>
        <v/>
      </c>
      <c r="U22" s="128" t="str">
        <f t="shared" ca="1" si="11"/>
        <v/>
      </c>
      <c r="V22" s="128" t="str">
        <f t="shared" ca="1" si="11"/>
        <v/>
      </c>
      <c r="W22" s="128" t="str">
        <f t="shared" ca="1" si="11"/>
        <v/>
      </c>
      <c r="X22" s="128" t="str">
        <f t="shared" ca="1" si="11"/>
        <v/>
      </c>
      <c r="Y22" s="128" t="str">
        <f t="shared" ca="1" si="11"/>
        <v/>
      </c>
      <c r="Z22" s="128" t="str">
        <f t="shared" ca="1" si="11"/>
        <v/>
      </c>
      <c r="AA22" s="128" t="str">
        <f t="shared" ca="1" si="11"/>
        <v/>
      </c>
      <c r="AB22" s="128" t="str">
        <f t="shared" ca="1" si="11"/>
        <v/>
      </c>
      <c r="AC22" s="128" t="str">
        <f t="shared" ca="1" si="12"/>
        <v/>
      </c>
      <c r="AD22" s="128" t="str">
        <f t="shared" ca="1" si="12"/>
        <v/>
      </c>
      <c r="AE22" s="128" t="str">
        <f t="shared" ca="1" si="12"/>
        <v/>
      </c>
      <c r="AF22" s="128" t="str">
        <f t="shared" ca="1" si="12"/>
        <v/>
      </c>
      <c r="AG22" s="128" t="str">
        <f t="shared" ca="1" si="12"/>
        <v/>
      </c>
      <c r="AH22" s="128" t="str">
        <f t="shared" ca="1" si="12"/>
        <v/>
      </c>
      <c r="AI22" s="128" t="str">
        <f t="shared" ca="1" si="12"/>
        <v/>
      </c>
      <c r="AJ22" s="128" t="str">
        <f t="shared" ca="1" si="12"/>
        <v/>
      </c>
      <c r="AK22" s="128" t="str">
        <f t="shared" ca="1" si="12"/>
        <v/>
      </c>
      <c r="AL22" s="128" t="str">
        <f t="shared" ca="1" si="12"/>
        <v/>
      </c>
      <c r="AM22" s="128" t="str">
        <f t="shared" ca="1" si="13"/>
        <v/>
      </c>
      <c r="AN22" s="128" t="str">
        <f t="shared" ca="1" si="13"/>
        <v/>
      </c>
      <c r="AO22" s="128" t="str">
        <f t="shared" ca="1" si="13"/>
        <v/>
      </c>
      <c r="AP22" s="128" t="str">
        <f t="shared" ca="1" si="13"/>
        <v/>
      </c>
      <c r="AQ22" s="128" t="str">
        <f t="shared" ca="1" si="13"/>
        <v/>
      </c>
      <c r="AR22" s="128" t="str">
        <f t="shared" ca="1" si="13"/>
        <v/>
      </c>
      <c r="AS22" s="128" t="str">
        <f t="shared" ca="1" si="13"/>
        <v/>
      </c>
      <c r="AT22" s="128" t="str">
        <f t="shared" ca="1" si="13"/>
        <v/>
      </c>
      <c r="AU22" s="128" t="str">
        <f t="shared" ca="1" si="13"/>
        <v/>
      </c>
      <c r="AV22" s="128" t="str">
        <f t="shared" ca="1" si="13"/>
        <v/>
      </c>
      <c r="AW22" s="128" t="str">
        <f t="shared" ca="1" si="14"/>
        <v/>
      </c>
      <c r="AX22" s="128" t="str">
        <f t="shared" ca="1" si="14"/>
        <v/>
      </c>
      <c r="AY22" s="128" t="str">
        <f t="shared" ca="1" si="14"/>
        <v/>
      </c>
      <c r="AZ22" s="128" t="str">
        <f t="shared" ca="1" si="14"/>
        <v/>
      </c>
      <c r="BA22" s="128" t="str">
        <f t="shared" ca="1" si="14"/>
        <v/>
      </c>
      <c r="BB22" s="128" t="str">
        <f t="shared" ca="1" si="14"/>
        <v/>
      </c>
      <c r="BC22" s="128" t="str">
        <f t="shared" ca="1" si="14"/>
        <v/>
      </c>
      <c r="BD22" s="128" t="str">
        <f t="shared" ca="1" si="14"/>
        <v/>
      </c>
      <c r="BE22" s="128" t="str">
        <f t="shared" ca="1" si="14"/>
        <v/>
      </c>
      <c r="BF22" s="128" t="str">
        <f t="shared" ca="1" si="14"/>
        <v/>
      </c>
      <c r="BG22" s="128" t="str">
        <f t="shared" ca="1" si="15"/>
        <v/>
      </c>
      <c r="BH22" s="128" t="str">
        <f t="shared" ca="1" si="15"/>
        <v/>
      </c>
      <c r="BI22" s="128" t="str">
        <f t="shared" ca="1" si="15"/>
        <v/>
      </c>
      <c r="BJ22" s="128" t="str">
        <f t="shared" ca="1" si="15"/>
        <v/>
      </c>
      <c r="BK22" s="128" t="str">
        <f t="shared" ca="1" si="15"/>
        <v/>
      </c>
      <c r="BL22" s="128" t="str">
        <f t="shared" ca="1" si="15"/>
        <v/>
      </c>
      <c r="BM22" s="93"/>
    </row>
    <row r="23" spans="1:65" s="18" customFormat="1" ht="39.75" customHeight="1">
      <c r="A23" s="13"/>
      <c r="B23" s="121" t="s">
        <v>62</v>
      </c>
      <c r="C23" s="122"/>
      <c r="D23" s="122"/>
      <c r="E23" s="123"/>
      <c r="F23" s="124"/>
      <c r="G23" s="125"/>
      <c r="H23" s="126"/>
      <c r="I23" s="127" t="str">
        <f t="shared" ca="1" si="10"/>
        <v/>
      </c>
      <c r="J23" s="128" t="str">
        <f t="shared" ca="1" si="10"/>
        <v/>
      </c>
      <c r="K23" s="128" t="str">
        <f t="shared" ca="1" si="10"/>
        <v/>
      </c>
      <c r="L23" s="128" t="str">
        <f t="shared" ca="1" si="10"/>
        <v/>
      </c>
      <c r="M23" s="128" t="str">
        <f t="shared" ca="1" si="10"/>
        <v/>
      </c>
      <c r="N23" s="128" t="str">
        <f t="shared" ca="1" si="10"/>
        <v/>
      </c>
      <c r="O23" s="128" t="str">
        <f t="shared" ca="1" si="10"/>
        <v/>
      </c>
      <c r="P23" s="128" t="str">
        <f t="shared" ca="1" si="10"/>
        <v/>
      </c>
      <c r="Q23" s="128" t="str">
        <f t="shared" ca="1" si="10"/>
        <v/>
      </c>
      <c r="R23" s="128" t="str">
        <f t="shared" ca="1" si="10"/>
        <v/>
      </c>
      <c r="S23" s="128" t="str">
        <f t="shared" ca="1" si="11"/>
        <v/>
      </c>
      <c r="T23" s="128" t="str">
        <f t="shared" ca="1" si="11"/>
        <v/>
      </c>
      <c r="U23" s="128" t="str">
        <f t="shared" ca="1" si="11"/>
        <v/>
      </c>
      <c r="V23" s="128" t="str">
        <f t="shared" ca="1" si="11"/>
        <v/>
      </c>
      <c r="W23" s="128" t="str">
        <f t="shared" ca="1" si="11"/>
        <v/>
      </c>
      <c r="X23" s="128" t="str">
        <f t="shared" ca="1" si="11"/>
        <v/>
      </c>
      <c r="Y23" s="128" t="str">
        <f t="shared" ca="1" si="11"/>
        <v/>
      </c>
      <c r="Z23" s="128" t="str">
        <f t="shared" ca="1" si="11"/>
        <v/>
      </c>
      <c r="AA23" s="128" t="str">
        <f t="shared" ca="1" si="11"/>
        <v/>
      </c>
      <c r="AB23" s="128" t="str">
        <f t="shared" ca="1" si="11"/>
        <v/>
      </c>
      <c r="AC23" s="128" t="str">
        <f t="shared" ca="1" si="12"/>
        <v/>
      </c>
      <c r="AD23" s="128" t="str">
        <f t="shared" ca="1" si="12"/>
        <v/>
      </c>
      <c r="AE23" s="128" t="str">
        <f t="shared" ca="1" si="12"/>
        <v/>
      </c>
      <c r="AF23" s="128" t="str">
        <f t="shared" ca="1" si="12"/>
        <v/>
      </c>
      <c r="AG23" s="128" t="str">
        <f t="shared" ca="1" si="12"/>
        <v/>
      </c>
      <c r="AH23" s="128" t="str">
        <f t="shared" ca="1" si="12"/>
        <v/>
      </c>
      <c r="AI23" s="128" t="str">
        <f t="shared" ca="1" si="12"/>
        <v/>
      </c>
      <c r="AJ23" s="128" t="str">
        <f t="shared" ca="1" si="12"/>
        <v/>
      </c>
      <c r="AK23" s="128" t="str">
        <f t="shared" ca="1" si="12"/>
        <v/>
      </c>
      <c r="AL23" s="128" t="str">
        <f t="shared" ca="1" si="12"/>
        <v/>
      </c>
      <c r="AM23" s="128" t="str">
        <f t="shared" ca="1" si="13"/>
        <v/>
      </c>
      <c r="AN23" s="128" t="str">
        <f t="shared" ca="1" si="13"/>
        <v/>
      </c>
      <c r="AO23" s="128" t="str">
        <f t="shared" ca="1" si="13"/>
        <v/>
      </c>
      <c r="AP23" s="128" t="str">
        <f t="shared" ca="1" si="13"/>
        <v/>
      </c>
      <c r="AQ23" s="128" t="str">
        <f t="shared" ca="1" si="13"/>
        <v/>
      </c>
      <c r="AR23" s="128" t="str">
        <f t="shared" ca="1" si="13"/>
        <v/>
      </c>
      <c r="AS23" s="128" t="str">
        <f t="shared" ca="1" si="13"/>
        <v/>
      </c>
      <c r="AT23" s="128" t="str">
        <f t="shared" ca="1" si="13"/>
        <v/>
      </c>
      <c r="AU23" s="128" t="str">
        <f t="shared" ca="1" si="13"/>
        <v/>
      </c>
      <c r="AV23" s="128" t="str">
        <f t="shared" ca="1" si="13"/>
        <v/>
      </c>
      <c r="AW23" s="128" t="str">
        <f t="shared" ca="1" si="14"/>
        <v/>
      </c>
      <c r="AX23" s="128" t="str">
        <f t="shared" ca="1" si="14"/>
        <v/>
      </c>
      <c r="AY23" s="128" t="str">
        <f t="shared" ca="1" si="14"/>
        <v/>
      </c>
      <c r="AZ23" s="128" t="str">
        <f t="shared" ca="1" si="14"/>
        <v/>
      </c>
      <c r="BA23" s="128" t="str">
        <f t="shared" ca="1" si="14"/>
        <v/>
      </c>
      <c r="BB23" s="128" t="str">
        <f t="shared" ca="1" si="14"/>
        <v/>
      </c>
      <c r="BC23" s="128" t="str">
        <f t="shared" ca="1" si="14"/>
        <v/>
      </c>
      <c r="BD23" s="128" t="str">
        <f t="shared" ca="1" si="14"/>
        <v/>
      </c>
      <c r="BE23" s="128" t="str">
        <f t="shared" ca="1" si="14"/>
        <v/>
      </c>
      <c r="BF23" s="128" t="str">
        <f t="shared" ca="1" si="14"/>
        <v/>
      </c>
      <c r="BG23" s="128" t="str">
        <f t="shared" ca="1" si="15"/>
        <v/>
      </c>
      <c r="BH23" s="128" t="str">
        <f t="shared" ca="1" si="15"/>
        <v/>
      </c>
      <c r="BI23" s="128" t="str">
        <f t="shared" ca="1" si="15"/>
        <v/>
      </c>
      <c r="BJ23" s="128" t="str">
        <f t="shared" ca="1" si="15"/>
        <v/>
      </c>
      <c r="BK23" s="128" t="str">
        <f t="shared" ca="1" si="15"/>
        <v/>
      </c>
      <c r="BL23" s="128" t="str">
        <f t="shared" ca="1" si="15"/>
        <v/>
      </c>
      <c r="BM23" s="93"/>
    </row>
    <row r="24" spans="1:65" s="18" customFormat="1" ht="39.75" customHeight="1">
      <c r="A24" s="13"/>
      <c r="B24" s="129" t="s">
        <v>54</v>
      </c>
      <c r="C24" s="122" t="s">
        <v>36</v>
      </c>
      <c r="D24" s="122"/>
      <c r="E24" s="123"/>
      <c r="F24" s="124" t="d">
        <f ca="1">F12+15</f>
        <v>2026-05-14</v>
      </c>
      <c r="G24" s="125">
        <v>4</v>
      </c>
      <c r="H24" s="126"/>
      <c r="I24" s="127" t="str">
        <f t="shared" ca="1" si="10"/>
        <v/>
      </c>
      <c r="J24" s="128" t="str">
        <f t="shared" ca="1" si="10"/>
        <v/>
      </c>
      <c r="K24" s="128" t="str">
        <f t="shared" ca="1" si="10"/>
        <v/>
      </c>
      <c r="L24" s="128" t="str">
        <f t="shared" ca="1" si="10"/>
        <v/>
      </c>
      <c r="M24" s="128" t="str">
        <f t="shared" ca="1" si="10"/>
        <v/>
      </c>
      <c r="N24" s="128" t="str">
        <f t="shared" ca="1" si="10"/>
        <v/>
      </c>
      <c r="O24" s="128" t="str">
        <f t="shared" ca="1" si="10"/>
        <v/>
      </c>
      <c r="P24" s="128" t="str">
        <f t="shared" ca="1" si="10"/>
        <v/>
      </c>
      <c r="Q24" s="128" t="str">
        <f t="shared" ca="1" si="10"/>
        <v/>
      </c>
      <c r="R24" s="128" t="str">
        <f t="shared" ca="1" si="10"/>
        <v/>
      </c>
      <c r="S24" s="128" t="str">
        <f t="shared" ca="1" si="11"/>
        <v/>
      </c>
      <c r="T24" s="128" t="str">
        <f t="shared" ca="1" si="11"/>
        <v/>
      </c>
      <c r="U24" s="128" t="str">
        <f t="shared" ca="1" si="11"/>
        <v/>
      </c>
      <c r="V24" s="128" t="str">
        <f t="shared" ca="1" si="11"/>
        <v/>
      </c>
      <c r="W24" s="128" t="str">
        <f t="shared" ca="1" si="11"/>
        <v/>
      </c>
      <c r="X24" s="128" t="str">
        <f t="shared" ca="1" si="11"/>
        <v/>
      </c>
      <c r="Y24" s="128" t="str">
        <f t="shared" ca="1" si="11"/>
        <v/>
      </c>
      <c r="Z24" s="128" t="str">
        <f t="shared" ca="1" si="11"/>
        <v/>
      </c>
      <c r="AA24" s="128" t="str">
        <f t="shared" ca="1" si="11"/>
        <v/>
      </c>
      <c r="AB24" s="128" t="str">
        <f t="shared" ca="1" si="11"/>
        <v/>
      </c>
      <c r="AC24" s="128" t="str">
        <f t="shared" ca="1" si="12"/>
        <v/>
      </c>
      <c r="AD24" s="128" t="str">
        <f t="shared" ca="1" si="12"/>
        <v/>
      </c>
      <c r="AE24" s="128" t="str">
        <f t="shared" ca="1" si="12"/>
        <v/>
      </c>
      <c r="AF24" s="128" t="str">
        <f t="shared" ca="1" si="12"/>
        <v/>
      </c>
      <c r="AG24" s="128" t="str">
        <f t="shared" ca="1" si="12"/>
        <v/>
      </c>
      <c r="AH24" s="128" t="str">
        <f t="shared" ca="1" si="12"/>
        <v/>
      </c>
      <c r="AI24" s="128" t="str">
        <f t="shared" ca="1" si="12"/>
        <v/>
      </c>
      <c r="AJ24" s="128" t="str">
        <f t="shared" ca="1" si="12"/>
        <v/>
      </c>
      <c r="AK24" s="128" t="str">
        <f t="shared" ca="1" si="12"/>
        <v/>
      </c>
      <c r="AL24" s="128" t="str">
        <f t="shared" ca="1" si="12"/>
        <v/>
      </c>
      <c r="AM24" s="128" t="str">
        <f t="shared" ca="1" si="13"/>
        <v/>
      </c>
      <c r="AN24" s="128" t="str">
        <f t="shared" ca="1" si="13"/>
        <v/>
      </c>
      <c r="AO24" s="128" t="str">
        <f t="shared" ca="1" si="13"/>
        <v/>
      </c>
      <c r="AP24" s="128" t="str">
        <f t="shared" ca="1" si="13"/>
        <v/>
      </c>
      <c r="AQ24" s="128" t="str">
        <f t="shared" ca="1" si="13"/>
        <v/>
      </c>
      <c r="AR24" s="128" t="str">
        <f t="shared" ca="1" si="13"/>
        <v/>
      </c>
      <c r="AS24" s="128" t="str">
        <f t="shared" ca="1" si="13"/>
        <v/>
      </c>
      <c r="AT24" s="128" t="str">
        <f t="shared" ca="1" si="13"/>
        <v/>
      </c>
      <c r="AU24" s="128" t="str">
        <f t="shared" ca="1" si="13"/>
        <v/>
      </c>
      <c r="AV24" s="128" t="str">
        <f t="shared" ca="1" si="13"/>
        <v/>
      </c>
      <c r="AW24" s="128" t="str">
        <f t="shared" ca="1" si="14"/>
        <v/>
      </c>
      <c r="AX24" s="128" t="str">
        <f t="shared" ca="1" si="14"/>
        <v/>
      </c>
      <c r="AY24" s="128" t="str">
        <f t="shared" ca="1" si="14"/>
        <v/>
      </c>
      <c r="AZ24" s="128" t="str">
        <f t="shared" ca="1" si="14"/>
        <v/>
      </c>
      <c r="BA24" s="128" t="str">
        <f t="shared" ca="1" si="14"/>
        <v/>
      </c>
      <c r="BB24" s="128" t="str">
        <f t="shared" ca="1" si="14"/>
        <v/>
      </c>
      <c r="BC24" s="128" t="str">
        <f t="shared" ca="1" si="14"/>
        <v/>
      </c>
      <c r="BD24" s="128" t="str">
        <f t="shared" ca="1" si="14"/>
        <v/>
      </c>
      <c r="BE24" s="128" t="str">
        <f t="shared" ca="1" si="14"/>
        <v/>
      </c>
      <c r="BF24" s="128" t="str">
        <f t="shared" ca="1" si="14"/>
        <v/>
      </c>
      <c r="BG24" s="128" t="str">
        <f t="shared" ca="1" si="15"/>
        <v/>
      </c>
      <c r="BH24" s="128" t="str">
        <f t="shared" ca="1" si="15"/>
        <v/>
      </c>
      <c r="BI24" s="128" t="str">
        <f t="shared" ca="1" si="15"/>
        <v/>
      </c>
      <c r="BJ24" s="128" t="str">
        <f t="shared" ca="1" si="15"/>
        <v/>
      </c>
      <c r="BK24" s="128" t="str">
        <f t="shared" ca="1" si="15"/>
        <v/>
      </c>
      <c r="BL24" s="128" t="str">
        <f t="shared" ca="1" si="15"/>
        <v/>
      </c>
      <c r="BM24" s="93"/>
    </row>
    <row r="25" spans="1:65" s="18" customFormat="1" ht="39.75" customHeight="1">
      <c r="A25" s="13"/>
      <c r="B25" s="129" t="s">
        <v>57</v>
      </c>
      <c r="C25" s="122" t="s">
        <v>39</v>
      </c>
      <c r="D25" s="122"/>
      <c r="E25" s="123"/>
      <c r="F25" s="124" t="d">
        <f ca="1">F24+3</f>
        <v>2026-05-17</v>
      </c>
      <c r="G25" s="125">
        <v>14</v>
      </c>
      <c r="H25" s="126"/>
      <c r="I25" s="127" t="str">
        <f t="shared" ca="1" si="10"/>
        <v/>
      </c>
      <c r="J25" s="128" t="str">
        <f t="shared" ca="1" si="10"/>
        <v/>
      </c>
      <c r="K25" s="128" t="str">
        <f t="shared" ca="1" si="10"/>
        <v/>
      </c>
      <c r="L25" s="128" t="str">
        <f t="shared" ca="1" si="10"/>
        <v/>
      </c>
      <c r="M25" s="128" t="str">
        <f t="shared" ca="1" si="10"/>
        <v/>
      </c>
      <c r="N25" s="128" t="str">
        <f t="shared" ca="1" si="10"/>
        <v/>
      </c>
      <c r="O25" s="128" t="str">
        <f t="shared" ca="1" si="10"/>
        <v/>
      </c>
      <c r="P25" s="128" t="str">
        <f t="shared" ca="1" si="10"/>
        <v/>
      </c>
      <c r="Q25" s="128" t="str">
        <f t="shared" ca="1" si="10"/>
        <v/>
      </c>
      <c r="R25" s="128" t="str">
        <f t="shared" ca="1" si="10"/>
        <v/>
      </c>
      <c r="S25" s="128" t="str">
        <f t="shared" ca="1" si="11"/>
        <v/>
      </c>
      <c r="T25" s="128" t="str">
        <f t="shared" ca="1" si="11"/>
        <v/>
      </c>
      <c r="U25" s="128" t="str">
        <f t="shared" ca="1" si="11"/>
        <v/>
      </c>
      <c r="V25" s="128" t="str">
        <f t="shared" ca="1" si="11"/>
        <v/>
      </c>
      <c r="W25" s="128" t="str">
        <f t="shared" ca="1" si="11"/>
        <v/>
      </c>
      <c r="X25" s="128" t="str">
        <f t="shared" ca="1" si="11"/>
        <v/>
      </c>
      <c r="Y25" s="128" t="str">
        <f t="shared" ca="1" si="11"/>
        <v/>
      </c>
      <c r="Z25" s="128" t="str">
        <f t="shared" ca="1" si="11"/>
        <v/>
      </c>
      <c r="AA25" s="128" t="str">
        <f t="shared" ca="1" si="11"/>
        <v/>
      </c>
      <c r="AB25" s="128" t="str">
        <f t="shared" ca="1" si="11"/>
        <v/>
      </c>
      <c r="AC25" s="128" t="str">
        <f t="shared" ca="1" si="12"/>
        <v/>
      </c>
      <c r="AD25" s="128" t="str">
        <f t="shared" ca="1" si="12"/>
        <v/>
      </c>
      <c r="AE25" s="128" t="str">
        <f t="shared" ca="1" si="12"/>
        <v/>
      </c>
      <c r="AF25" s="128" t="str">
        <f t="shared" ca="1" si="12"/>
        <v/>
      </c>
      <c r="AG25" s="128" t="str">
        <f t="shared" ca="1" si="12"/>
        <v/>
      </c>
      <c r="AH25" s="128" t="str">
        <f t="shared" ca="1" si="12"/>
        <v/>
      </c>
      <c r="AI25" s="128" t="str">
        <f t="shared" ca="1" si="12"/>
        <v/>
      </c>
      <c r="AJ25" s="128" t="str">
        <f t="shared" ca="1" si="12"/>
        <v/>
      </c>
      <c r="AK25" s="128" t="str">
        <f t="shared" ca="1" si="12"/>
        <v/>
      </c>
      <c r="AL25" s="128" t="str">
        <f t="shared" ca="1" si="12"/>
        <v/>
      </c>
      <c r="AM25" s="128" t="str">
        <f t="shared" ca="1" si="13"/>
        <v/>
      </c>
      <c r="AN25" s="128" t="str">
        <f t="shared" ca="1" si="13"/>
        <v/>
      </c>
      <c r="AO25" s="128" t="str">
        <f t="shared" ca="1" si="13"/>
        <v/>
      </c>
      <c r="AP25" s="128" t="str">
        <f t="shared" ca="1" si="13"/>
        <v/>
      </c>
      <c r="AQ25" s="128" t="str">
        <f t="shared" ca="1" si="13"/>
        <v/>
      </c>
      <c r="AR25" s="128" t="str">
        <f t="shared" ca="1" si="13"/>
        <v/>
      </c>
      <c r="AS25" s="128" t="str">
        <f t="shared" ca="1" si="13"/>
        <v/>
      </c>
      <c r="AT25" s="128" t="str">
        <f t="shared" ca="1" si="13"/>
        <v/>
      </c>
      <c r="AU25" s="128" t="str">
        <f t="shared" ca="1" si="13"/>
        <v/>
      </c>
      <c r="AV25" s="128" t="str">
        <f t="shared" ca="1" si="13"/>
        <v/>
      </c>
      <c r="AW25" s="128" t="str">
        <f t="shared" ca="1" si="14"/>
        <v/>
      </c>
      <c r="AX25" s="128" t="str">
        <f t="shared" ca="1" si="14"/>
        <v/>
      </c>
      <c r="AY25" s="128" t="str">
        <f t="shared" ca="1" si="14"/>
        <v/>
      </c>
      <c r="AZ25" s="128" t="str">
        <f t="shared" ca="1" si="14"/>
        <v/>
      </c>
      <c r="BA25" s="128" t="str">
        <f t="shared" ca="1" si="14"/>
        <v/>
      </c>
      <c r="BB25" s="128" t="str">
        <f t="shared" ca="1" si="14"/>
        <v/>
      </c>
      <c r="BC25" s="128" t="str">
        <f t="shared" ca="1" si="14"/>
        <v/>
      </c>
      <c r="BD25" s="128" t="str">
        <f t="shared" ca="1" si="14"/>
        <v/>
      </c>
      <c r="BE25" s="128" t="str">
        <f t="shared" ca="1" si="14"/>
        <v/>
      </c>
      <c r="BF25" s="128" t="str">
        <f t="shared" ca="1" si="14"/>
        <v/>
      </c>
      <c r="BG25" s="128" t="str">
        <f t="shared" ca="1" si="15"/>
        <v/>
      </c>
      <c r="BH25" s="128" t="str">
        <f t="shared" ca="1" si="15"/>
        <v/>
      </c>
      <c r="BI25" s="128" t="str">
        <f t="shared" ca="1" si="15"/>
        <v/>
      </c>
      <c r="BJ25" s="128" t="str">
        <f t="shared" ca="1" si="15"/>
        <v/>
      </c>
      <c r="BK25" s="128" t="str">
        <f t="shared" ca="1" si="15"/>
        <v/>
      </c>
      <c r="BL25" s="128" t="str">
        <f t="shared" ca="1" si="15"/>
        <v/>
      </c>
      <c r="BM25" s="93"/>
    </row>
    <row r="26" spans="1:65" s="18" customFormat="1" ht="39.75" customHeight="1">
      <c r="A26" s="13"/>
      <c r="B26" s="129" t="s">
        <v>58</v>
      </c>
      <c r="C26" s="122" t="s">
        <v>36</v>
      </c>
      <c r="D26" s="122"/>
      <c r="E26" s="123"/>
      <c r="F26" s="124" t="d">
        <f ca="1">F25+15</f>
        <v>2026-06-01</v>
      </c>
      <c r="G26" s="125">
        <v>6</v>
      </c>
      <c r="H26" s="126"/>
      <c r="I26" s="127" t="str">
        <f t="shared" ca="1" si="10"/>
        <v/>
      </c>
      <c r="J26" s="128" t="str">
        <f t="shared" ca="1" si="10"/>
        <v/>
      </c>
      <c r="K26" s="128" t="str">
        <f t="shared" ca="1" si="10"/>
        <v/>
      </c>
      <c r="L26" s="128" t="str">
        <f t="shared" ca="1" si="10"/>
        <v/>
      </c>
      <c r="M26" s="128" t="str">
        <f t="shared" ca="1" si="10"/>
        <v/>
      </c>
      <c r="N26" s="128" t="str">
        <f t="shared" ca="1" si="10"/>
        <v/>
      </c>
      <c r="O26" s="128" t="str">
        <f t="shared" ca="1" si="10"/>
        <v/>
      </c>
      <c r="P26" s="128" t="str">
        <f t="shared" ca="1" si="10"/>
        <v/>
      </c>
      <c r="Q26" s="128" t="str">
        <f t="shared" ca="1" si="10"/>
        <v/>
      </c>
      <c r="R26" s="128" t="str">
        <f t="shared" ca="1" si="10"/>
        <v/>
      </c>
      <c r="S26" s="128" t="str">
        <f t="shared" ca="1" si="11"/>
        <v/>
      </c>
      <c r="T26" s="128" t="str">
        <f t="shared" ca="1" si="11"/>
        <v/>
      </c>
      <c r="U26" s="128" t="str">
        <f t="shared" ca="1" si="11"/>
        <v/>
      </c>
      <c r="V26" s="128" t="str">
        <f t="shared" ca="1" si="11"/>
        <v/>
      </c>
      <c r="W26" s="128" t="str">
        <f t="shared" ca="1" si="11"/>
        <v/>
      </c>
      <c r="X26" s="128" t="str">
        <f t="shared" ca="1" si="11"/>
        <v/>
      </c>
      <c r="Y26" s="128" t="str">
        <f t="shared" ca="1" si="11"/>
        <v/>
      </c>
      <c r="Z26" s="128" t="str">
        <f t="shared" ca="1" si="11"/>
        <v/>
      </c>
      <c r="AA26" s="128" t="str">
        <f t="shared" ca="1" si="11"/>
        <v/>
      </c>
      <c r="AB26" s="128" t="str">
        <f t="shared" ca="1" si="11"/>
        <v/>
      </c>
      <c r="AC26" s="128" t="str">
        <f t="shared" ca="1" si="12"/>
        <v/>
      </c>
      <c r="AD26" s="128" t="str">
        <f t="shared" ca="1" si="12"/>
        <v/>
      </c>
      <c r="AE26" s="128" t="str">
        <f t="shared" ca="1" si="12"/>
        <v/>
      </c>
      <c r="AF26" s="128" t="str">
        <f t="shared" ca="1" si="12"/>
        <v/>
      </c>
      <c r="AG26" s="128" t="str">
        <f t="shared" ca="1" si="12"/>
        <v/>
      </c>
      <c r="AH26" s="128" t="str">
        <f t="shared" ca="1" si="12"/>
        <v/>
      </c>
      <c r="AI26" s="128" t="str">
        <f t="shared" ca="1" si="12"/>
        <v/>
      </c>
      <c r="AJ26" s="128" t="str">
        <f t="shared" ca="1" si="12"/>
        <v/>
      </c>
      <c r="AK26" s="128" t="str">
        <f t="shared" ca="1" si="12"/>
        <v/>
      </c>
      <c r="AL26" s="128" t="str">
        <f t="shared" ca="1" si="12"/>
        <v/>
      </c>
      <c r="AM26" s="128" t="str">
        <f t="shared" ca="1" si="13"/>
        <v/>
      </c>
      <c r="AN26" s="128" t="str">
        <f t="shared" ca="1" si="13"/>
        <v/>
      </c>
      <c r="AO26" s="128" t="str">
        <f t="shared" ca="1" si="13"/>
        <v/>
      </c>
      <c r="AP26" s="128" t="str">
        <f t="shared" ca="1" si="13"/>
        <v/>
      </c>
      <c r="AQ26" s="128" t="str">
        <f t="shared" ca="1" si="13"/>
        <v/>
      </c>
      <c r="AR26" s="128" t="str">
        <f t="shared" ca="1" si="13"/>
        <v/>
      </c>
      <c r="AS26" s="128" t="str">
        <f t="shared" ca="1" si="13"/>
        <v/>
      </c>
      <c r="AT26" s="128" t="str">
        <f t="shared" ca="1" si="13"/>
        <v/>
      </c>
      <c r="AU26" s="128" t="str">
        <f t="shared" ca="1" si="13"/>
        <v/>
      </c>
      <c r="AV26" s="128" t="str">
        <f t="shared" ca="1" si="13"/>
        <v/>
      </c>
      <c r="AW26" s="128" t="str">
        <f t="shared" ca="1" si="14"/>
        <v/>
      </c>
      <c r="AX26" s="128" t="str">
        <f t="shared" ca="1" si="14"/>
        <v/>
      </c>
      <c r="AY26" s="128" t="str">
        <f t="shared" ca="1" si="14"/>
        <v/>
      </c>
      <c r="AZ26" s="128" t="str">
        <f t="shared" ca="1" si="14"/>
        <v/>
      </c>
      <c r="BA26" s="128" t="str">
        <f t="shared" ca="1" si="14"/>
        <v/>
      </c>
      <c r="BB26" s="128" t="str">
        <f t="shared" ca="1" si="14"/>
        <v/>
      </c>
      <c r="BC26" s="128" t="str">
        <f t="shared" ca="1" si="14"/>
        <v/>
      </c>
      <c r="BD26" s="128" t="str">
        <f t="shared" ca="1" si="14"/>
        <v/>
      </c>
      <c r="BE26" s="128" t="str">
        <f t="shared" ca="1" si="14"/>
        <v/>
      </c>
      <c r="BF26" s="128" t="str">
        <f t="shared" ca="1" si="14"/>
        <v/>
      </c>
      <c r="BG26" s="128" t="str">
        <f t="shared" ca="1" si="15"/>
        <v/>
      </c>
      <c r="BH26" s="128" t="str">
        <f t="shared" ca="1" si="15"/>
        <v/>
      </c>
      <c r="BI26" s="128" t="str">
        <f t="shared" ca="1" si="15"/>
        <v/>
      </c>
      <c r="BJ26" s="128" t="str">
        <f t="shared" ca="1" si="15"/>
        <v/>
      </c>
      <c r="BK26" s="128" t="str">
        <f t="shared" ca="1" si="15"/>
        <v/>
      </c>
      <c r="BL26" s="128" t="str">
        <f t="shared" ca="1" si="15"/>
        <v/>
      </c>
      <c r="BM26" s="93"/>
    </row>
    <row r="27" spans="1:65" s="18" customFormat="1" ht="39.75" customHeight="1">
      <c r="A27" s="13"/>
      <c r="B27" s="129" t="s">
        <v>59</v>
      </c>
      <c r="C27" s="122" t="s">
        <v>55</v>
      </c>
      <c r="D27" s="122"/>
      <c r="E27" s="123"/>
      <c r="F27" s="124" t="d">
        <f ca="1">F21+22</f>
        <v>2026-06-05</v>
      </c>
      <c r="G27" s="125">
        <v>3</v>
      </c>
      <c r="H27" s="126"/>
      <c r="I27" s="127" t="str">
        <f t="shared" ca="1" si="10"/>
        <v/>
      </c>
      <c r="J27" s="128" t="str">
        <f t="shared" ca="1" si="10"/>
        <v/>
      </c>
      <c r="K27" s="128" t="str">
        <f t="shared" ca="1" si="10"/>
        <v/>
      </c>
      <c r="L27" s="128" t="str">
        <f t="shared" ca="1" si="10"/>
        <v/>
      </c>
      <c r="M27" s="128" t="str">
        <f t="shared" ca="1" si="10"/>
        <v/>
      </c>
      <c r="N27" s="128" t="str">
        <f t="shared" ca="1" si="10"/>
        <v/>
      </c>
      <c r="O27" s="128" t="str">
        <f t="shared" ca="1" si="10"/>
        <v/>
      </c>
      <c r="P27" s="128" t="str">
        <f t="shared" ca="1" si="10"/>
        <v/>
      </c>
      <c r="Q27" s="128" t="str">
        <f t="shared" ca="1" si="10"/>
        <v/>
      </c>
      <c r="R27" s="128" t="str">
        <f t="shared" ca="1" si="10"/>
        <v/>
      </c>
      <c r="S27" s="128" t="str">
        <f t="shared" ca="1" si="11"/>
        <v/>
      </c>
      <c r="T27" s="128" t="str">
        <f t="shared" ca="1" si="11"/>
        <v/>
      </c>
      <c r="U27" s="128" t="str">
        <f t="shared" ca="1" si="11"/>
        <v/>
      </c>
      <c r="V27" s="128" t="str">
        <f t="shared" ca="1" si="11"/>
        <v/>
      </c>
      <c r="W27" s="128" t="str">
        <f t="shared" ca="1" si="11"/>
        <v/>
      </c>
      <c r="X27" s="128" t="str">
        <f t="shared" ca="1" si="11"/>
        <v/>
      </c>
      <c r="Y27" s="128" t="str">
        <f t="shared" ca="1" si="11"/>
        <v/>
      </c>
      <c r="Z27" s="128" t="str">
        <f t="shared" ca="1" si="11"/>
        <v/>
      </c>
      <c r="AA27" s="128" t="str">
        <f t="shared" ca="1" si="11"/>
        <v/>
      </c>
      <c r="AB27" s="128" t="str">
        <f t="shared" ca="1" si="11"/>
        <v/>
      </c>
      <c r="AC27" s="128" t="str">
        <f t="shared" ca="1" si="12"/>
        <v/>
      </c>
      <c r="AD27" s="128" t="str">
        <f t="shared" ca="1" si="12"/>
        <v/>
      </c>
      <c r="AE27" s="128" t="str">
        <f t="shared" ca="1" si="12"/>
        <v/>
      </c>
      <c r="AF27" s="128" t="str">
        <f t="shared" ca="1" si="12"/>
        <v/>
      </c>
      <c r="AG27" s="128" t="str">
        <f t="shared" ca="1" si="12"/>
        <v/>
      </c>
      <c r="AH27" s="128" t="str">
        <f t="shared" ca="1" si="12"/>
        <v/>
      </c>
      <c r="AI27" s="128" t="str">
        <f t="shared" ca="1" si="12"/>
        <v/>
      </c>
      <c r="AJ27" s="128" t="str">
        <f t="shared" ca="1" si="12"/>
        <v/>
      </c>
      <c r="AK27" s="128" t="str">
        <f t="shared" ca="1" si="12"/>
        <v/>
      </c>
      <c r="AL27" s="128" t="str">
        <f t="shared" ca="1" si="12"/>
        <v/>
      </c>
      <c r="AM27" s="128" t="str">
        <f t="shared" ca="1" si="13"/>
        <v/>
      </c>
      <c r="AN27" s="128" t="str">
        <f t="shared" ca="1" si="13"/>
        <v/>
      </c>
      <c r="AO27" s="128" t="str">
        <f t="shared" ca="1" si="13"/>
        <v/>
      </c>
      <c r="AP27" s="128" t="str">
        <f t="shared" ca="1" si="13"/>
        <v/>
      </c>
      <c r="AQ27" s="128" t="str">
        <f t="shared" ca="1" si="13"/>
        <v/>
      </c>
      <c r="AR27" s="128" t="str">
        <f t="shared" ca="1" si="13"/>
        <v/>
      </c>
      <c r="AS27" s="128" t="str">
        <f t="shared" ca="1" si="13"/>
        <v/>
      </c>
      <c r="AT27" s="128" t="str">
        <f t="shared" ca="1" si="13"/>
        <v/>
      </c>
      <c r="AU27" s="128" t="str">
        <f t="shared" ca="1" si="13"/>
        <v/>
      </c>
      <c r="AV27" s="128" t="str">
        <f t="shared" ca="1" si="13"/>
        <v/>
      </c>
      <c r="AW27" s="128" t="str">
        <f t="shared" ca="1" si="14"/>
        <v/>
      </c>
      <c r="AX27" s="128" t="str">
        <f t="shared" ca="1" si="14"/>
        <v/>
      </c>
      <c r="AY27" s="128" t="str">
        <f t="shared" ca="1" si="14"/>
        <v/>
      </c>
      <c r="AZ27" s="128">
        <f t="shared" ca="1" si="14"/>
        <v>2</v>
      </c>
      <c r="BA27" s="128">
        <f t="shared" ca="1" si="14"/>
        <v>2</v>
      </c>
      <c r="BB27" s="128">
        <f t="shared" ca="1" si="14"/>
        <v>2</v>
      </c>
      <c r="BC27" s="128" t="str">
        <f t="shared" ca="1" si="14"/>
        <v/>
      </c>
      <c r="BD27" s="128" t="str">
        <f t="shared" ca="1" si="14"/>
        <v/>
      </c>
      <c r="BE27" s="128" t="str">
        <f t="shared" ca="1" si="14"/>
        <v/>
      </c>
      <c r="BF27" s="128" t="str">
        <f t="shared" ca="1" si="14"/>
        <v/>
      </c>
      <c r="BG27" s="128" t="str">
        <f t="shared" ca="1" si="15"/>
        <v/>
      </c>
      <c r="BH27" s="128" t="str">
        <f t="shared" ca="1" si="15"/>
        <v/>
      </c>
      <c r="BI27" s="128" t="str">
        <f t="shared" ca="1" si="15"/>
        <v/>
      </c>
      <c r="BJ27" s="128" t="str">
        <f t="shared" ca="1" si="15"/>
        <v/>
      </c>
      <c r="BK27" s="128" t="str">
        <f t="shared" ca="1" si="15"/>
        <v/>
      </c>
      <c r="BL27" s="128" t="str">
        <f t="shared" ca="1" si="15"/>
        <v/>
      </c>
      <c r="BM27" s="93"/>
    </row>
    <row r="28" spans="1:65" s="18" customFormat="1" ht="39.75" customHeight="1">
      <c r="A28" s="13"/>
      <c r="B28" s="129" t="s">
        <v>41</v>
      </c>
      <c r="C28" s="122" t="s">
        <v>33</v>
      </c>
      <c r="D28" s="122"/>
      <c r="E28" s="123"/>
      <c r="F28" s="124" t="d">
        <f ca="1">F16</f>
        <v>2026-05-05</v>
      </c>
      <c r="G28" s="125">
        <v>19</v>
      </c>
      <c r="H28" s="126"/>
      <c r="I28" s="127" t="str">
        <f t="shared" ca="1" si="10"/>
        <v/>
      </c>
      <c r="J28" s="128" t="str">
        <f t="shared" ca="1" si="10"/>
        <v/>
      </c>
      <c r="K28" s="128" t="str">
        <f t="shared" ca="1" si="10"/>
        <v/>
      </c>
      <c r="L28" s="128" t="str">
        <f t="shared" ca="1" si="10"/>
        <v/>
      </c>
      <c r="M28" s="128" t="str">
        <f t="shared" ca="1" si="10"/>
        <v/>
      </c>
      <c r="N28" s="128" t="str">
        <f t="shared" ca="1" si="10"/>
        <v/>
      </c>
      <c r="O28" s="128" t="str">
        <f t="shared" ca="1" si="10"/>
        <v/>
      </c>
      <c r="P28" s="128" t="str">
        <f t="shared" ca="1" si="10"/>
        <v/>
      </c>
      <c r="Q28" s="128" t="str">
        <f t="shared" ca="1" si="10"/>
        <v/>
      </c>
      <c r="R28" s="128" t="str">
        <f t="shared" ca="1" si="10"/>
        <v/>
      </c>
      <c r="S28" s="128" t="str">
        <f t="shared" ca="1" si="11"/>
        <v/>
      </c>
      <c r="T28" s="128" t="str">
        <f t="shared" ca="1" si="11"/>
        <v/>
      </c>
      <c r="U28" s="128" t="str">
        <f t="shared" ca="1" si="11"/>
        <v/>
      </c>
      <c r="V28" s="128" t="str">
        <f t="shared" ca="1" si="11"/>
        <v/>
      </c>
      <c r="W28" s="128" t="str">
        <f t="shared" ca="1" si="11"/>
        <v/>
      </c>
      <c r="X28" s="128" t="str">
        <f t="shared" ca="1" si="11"/>
        <v/>
      </c>
      <c r="Y28" s="128" t="str">
        <f t="shared" ca="1" si="11"/>
        <v/>
      </c>
      <c r="Z28" s="128" t="str">
        <f t="shared" ca="1" si="11"/>
        <v/>
      </c>
      <c r="AA28" s="128" t="str">
        <f t="shared" ca="1" si="11"/>
        <v/>
      </c>
      <c r="AB28" s="128" t="str">
        <f t="shared" ca="1" si="11"/>
        <v/>
      </c>
      <c r="AC28" s="128" t="str">
        <f t="shared" ca="1" si="12"/>
        <v/>
      </c>
      <c r="AD28" s="128" t="str">
        <f t="shared" ca="1" si="12"/>
        <v/>
      </c>
      <c r="AE28" s="128" t="str">
        <f t="shared" ca="1" si="12"/>
        <v/>
      </c>
      <c r="AF28" s="128" t="str">
        <f t="shared" ca="1" si="12"/>
        <v/>
      </c>
      <c r="AG28" s="128" t="str">
        <f t="shared" ca="1" si="12"/>
        <v/>
      </c>
      <c r="AH28" s="128" t="str">
        <f t="shared" ca="1" si="12"/>
        <v/>
      </c>
      <c r="AI28" s="128" t="str">
        <f t="shared" ca="1" si="12"/>
        <v/>
      </c>
      <c r="AJ28" s="128" t="str">
        <f t="shared" ca="1" si="12"/>
        <v/>
      </c>
      <c r="AK28" s="128" t="str">
        <f t="shared" ca="1" si="12"/>
        <v/>
      </c>
      <c r="AL28" s="128" t="str">
        <f t="shared" ca="1" si="12"/>
        <v/>
      </c>
      <c r="AM28" s="128" t="str">
        <f t="shared" ca="1" si="13"/>
        <v/>
      </c>
      <c r="AN28" s="128" t="str">
        <f t="shared" ca="1" si="13"/>
        <v/>
      </c>
      <c r="AO28" s="128" t="str">
        <f t="shared" ca="1" si="13"/>
        <v/>
      </c>
      <c r="AP28" s="128" t="str">
        <f t="shared" ca="1" si="13"/>
        <v/>
      </c>
      <c r="AQ28" s="128" t="str">
        <f t="shared" ca="1" si="13"/>
        <v/>
      </c>
      <c r="AR28" s="128" t="str">
        <f t="shared" ca="1" si="13"/>
        <v/>
      </c>
      <c r="AS28" s="128" t="str">
        <f t="shared" ca="1" si="13"/>
        <v/>
      </c>
      <c r="AT28" s="128" t="str">
        <f t="shared" ca="1" si="13"/>
        <v/>
      </c>
      <c r="AU28" s="128" t="str">
        <f t="shared" ca="1" si="13"/>
        <v/>
      </c>
      <c r="AV28" s="128" t="str">
        <f t="shared" ca="1" si="13"/>
        <v/>
      </c>
      <c r="AW28" s="128" t="str">
        <f t="shared" ca="1" si="14"/>
        <v/>
      </c>
      <c r="AX28" s="128" t="str">
        <f t="shared" ca="1" si="14"/>
        <v/>
      </c>
      <c r="AY28" s="128" t="str">
        <f t="shared" ca="1" si="14"/>
        <v/>
      </c>
      <c r="AZ28" s="128" t="str">
        <f t="shared" ca="1" si="14"/>
        <v/>
      </c>
      <c r="BA28" s="128" t="str">
        <f t="shared" ca="1" si="14"/>
        <v/>
      </c>
      <c r="BB28" s="128" t="str">
        <f t="shared" ca="1" si="14"/>
        <v/>
      </c>
      <c r="BC28" s="128" t="str">
        <f t="shared" ca="1" si="14"/>
        <v/>
      </c>
      <c r="BD28" s="128" t="str">
        <f t="shared" ca="1" si="14"/>
        <v/>
      </c>
      <c r="BE28" s="128" t="str">
        <f t="shared" ca="1" si="14"/>
        <v/>
      </c>
      <c r="BF28" s="128" t="str">
        <f t="shared" ca="1" si="14"/>
        <v/>
      </c>
      <c r="BG28" s="128" t="str">
        <f t="shared" ca="1" si="15"/>
        <v/>
      </c>
      <c r="BH28" s="128" t="str">
        <f t="shared" ca="1" si="15"/>
        <v/>
      </c>
      <c r="BI28" s="128" t="str">
        <f t="shared" ca="1" si="15"/>
        <v/>
      </c>
      <c r="BJ28" s="128" t="str">
        <f t="shared" ca="1" si="15"/>
        <v/>
      </c>
      <c r="BK28" s="128" t="str">
        <f t="shared" ca="1" si="15"/>
        <v/>
      </c>
      <c r="BL28" s="128" t="str">
        <f t="shared" ca="1" si="15"/>
        <v/>
      </c>
      <c r="BM28" s="93"/>
    </row>
    <row r="29" spans="1:65" s="18" customFormat="1" ht="39.75" customHeight="1">
      <c r="A29" s="13"/>
      <c r="B29" s="121" t="s">
        <v>63</v>
      </c>
      <c r="C29" s="122"/>
      <c r="D29" s="122"/>
      <c r="E29" s="123"/>
      <c r="F29" s="124"/>
      <c r="G29" s="125"/>
      <c r="H29" s="126"/>
      <c r="I29" s="127" t="str">
        <f t="shared" ca="1" si="10"/>
        <v/>
      </c>
      <c r="J29" s="128" t="str">
        <f t="shared" ca="1" si="10"/>
        <v/>
      </c>
      <c r="K29" s="128" t="str">
        <f t="shared" ca="1" si="10"/>
        <v/>
      </c>
      <c r="L29" s="128" t="str">
        <f t="shared" ca="1" si="10"/>
        <v/>
      </c>
      <c r="M29" s="128" t="str">
        <f t="shared" ca="1" si="10"/>
        <v/>
      </c>
      <c r="N29" s="128" t="str">
        <f t="shared" ca="1" si="10"/>
        <v/>
      </c>
      <c r="O29" s="128" t="str">
        <f t="shared" ca="1" si="10"/>
        <v/>
      </c>
      <c r="P29" s="128" t="str">
        <f t="shared" ca="1" si="10"/>
        <v/>
      </c>
      <c r="Q29" s="128" t="str">
        <f t="shared" ca="1" si="10"/>
        <v/>
      </c>
      <c r="R29" s="128" t="str">
        <f t="shared" ca="1" si="10"/>
        <v/>
      </c>
      <c r="S29" s="128" t="str">
        <f t="shared" ca="1" si="11"/>
        <v/>
      </c>
      <c r="T29" s="128" t="str">
        <f t="shared" ca="1" si="11"/>
        <v/>
      </c>
      <c r="U29" s="128" t="str">
        <f t="shared" ca="1" si="11"/>
        <v/>
      </c>
      <c r="V29" s="128" t="str">
        <f t="shared" ca="1" si="11"/>
        <v/>
      </c>
      <c r="W29" s="128" t="str">
        <f t="shared" ca="1" si="11"/>
        <v/>
      </c>
      <c r="X29" s="128" t="str">
        <f t="shared" ca="1" si="11"/>
        <v/>
      </c>
      <c r="Y29" s="128" t="str">
        <f t="shared" ca="1" si="11"/>
        <v/>
      </c>
      <c r="Z29" s="128" t="str">
        <f t="shared" ca="1" si="11"/>
        <v/>
      </c>
      <c r="AA29" s="128" t="str">
        <f t="shared" ca="1" si="11"/>
        <v/>
      </c>
      <c r="AB29" s="128" t="str">
        <f t="shared" ca="1" si="11"/>
        <v/>
      </c>
      <c r="AC29" s="128" t="str">
        <f t="shared" ca="1" si="12"/>
        <v/>
      </c>
      <c r="AD29" s="128" t="str">
        <f t="shared" ca="1" si="12"/>
        <v/>
      </c>
      <c r="AE29" s="128" t="str">
        <f t="shared" ca="1" si="12"/>
        <v/>
      </c>
      <c r="AF29" s="128" t="str">
        <f t="shared" ca="1" si="12"/>
        <v/>
      </c>
      <c r="AG29" s="128" t="str">
        <f t="shared" ca="1" si="12"/>
        <v/>
      </c>
      <c r="AH29" s="128" t="str">
        <f t="shared" ca="1" si="12"/>
        <v/>
      </c>
      <c r="AI29" s="128" t="str">
        <f t="shared" ca="1" si="12"/>
        <v/>
      </c>
      <c r="AJ29" s="128" t="str">
        <f t="shared" ca="1" si="12"/>
        <v/>
      </c>
      <c r="AK29" s="128" t="str">
        <f t="shared" ca="1" si="12"/>
        <v/>
      </c>
      <c r="AL29" s="128" t="str">
        <f t="shared" ca="1" si="12"/>
        <v/>
      </c>
      <c r="AM29" s="128" t="str">
        <f t="shared" ca="1" si="13"/>
        <v/>
      </c>
      <c r="AN29" s="128" t="str">
        <f t="shared" ca="1" si="13"/>
        <v/>
      </c>
      <c r="AO29" s="128" t="str">
        <f t="shared" ca="1" si="13"/>
        <v/>
      </c>
      <c r="AP29" s="128" t="str">
        <f t="shared" ca="1" si="13"/>
        <v/>
      </c>
      <c r="AQ29" s="128" t="str">
        <f t="shared" ca="1" si="13"/>
        <v/>
      </c>
      <c r="AR29" s="128" t="str">
        <f t="shared" ca="1" si="13"/>
        <v/>
      </c>
      <c r="AS29" s="128" t="str">
        <f t="shared" ca="1" si="13"/>
        <v/>
      </c>
      <c r="AT29" s="128" t="str">
        <f t="shared" ca="1" si="13"/>
        <v/>
      </c>
      <c r="AU29" s="128" t="str">
        <f t="shared" ca="1" si="13"/>
        <v/>
      </c>
      <c r="AV29" s="128" t="str">
        <f t="shared" ca="1" si="13"/>
        <v/>
      </c>
      <c r="AW29" s="128" t="str">
        <f t="shared" ca="1" si="14"/>
        <v/>
      </c>
      <c r="AX29" s="128" t="str">
        <f t="shared" ca="1" si="14"/>
        <v/>
      </c>
      <c r="AY29" s="128" t="str">
        <f t="shared" ca="1" si="14"/>
        <v/>
      </c>
      <c r="AZ29" s="128" t="str">
        <f t="shared" ca="1" si="14"/>
        <v/>
      </c>
      <c r="BA29" s="128" t="str">
        <f t="shared" ca="1" si="14"/>
        <v/>
      </c>
      <c r="BB29" s="128" t="str">
        <f t="shared" ca="1" si="14"/>
        <v/>
      </c>
      <c r="BC29" s="128" t="str">
        <f t="shared" ca="1" si="14"/>
        <v/>
      </c>
      <c r="BD29" s="128" t="str">
        <f t="shared" ca="1" si="14"/>
        <v/>
      </c>
      <c r="BE29" s="128" t="str">
        <f t="shared" ca="1" si="14"/>
        <v/>
      </c>
      <c r="BF29" s="128" t="str">
        <f t="shared" ca="1" si="14"/>
        <v/>
      </c>
      <c r="BG29" s="128" t="str">
        <f t="shared" ca="1" si="15"/>
        <v/>
      </c>
      <c r="BH29" s="128" t="str">
        <f t="shared" ca="1" si="15"/>
        <v/>
      </c>
      <c r="BI29" s="128" t="str">
        <f t="shared" ca="1" si="15"/>
        <v/>
      </c>
      <c r="BJ29" s="128" t="str">
        <f t="shared" ca="1" si="15"/>
        <v/>
      </c>
      <c r="BK29" s="128" t="str">
        <f t="shared" ca="1" si="15"/>
        <v/>
      </c>
      <c r="BL29" s="128" t="str">
        <f t="shared" ca="1" si="15"/>
        <v/>
      </c>
      <c r="BM29" s="93"/>
    </row>
    <row r="30" spans="1:65" s="18" customFormat="1" ht="39.75" customHeight="1">
      <c r="A30" s="13"/>
      <c r="B30" s="129" t="s">
        <v>54</v>
      </c>
      <c r="C30" s="122"/>
      <c r="D30" s="122"/>
      <c r="E30" s="123"/>
      <c r="F30" s="124" t="d">
        <f ca="1">F27+3</f>
        <v>2026-06-08</v>
      </c>
      <c r="G30" s="125">
        <v>15</v>
      </c>
      <c r="H30" s="126"/>
      <c r="I30" s="127" t="str">
        <f t="shared" ca="1" si="10"/>
        <v/>
      </c>
      <c r="J30" s="128" t="str">
        <f t="shared" ca="1" si="10"/>
        <v/>
      </c>
      <c r="K30" s="128" t="str">
        <f t="shared" ca="1" si="10"/>
        <v/>
      </c>
      <c r="L30" s="128" t="str">
        <f t="shared" ca="1" si="10"/>
        <v/>
      </c>
      <c r="M30" s="128" t="str">
        <f t="shared" ca="1" si="10"/>
        <v/>
      </c>
      <c r="N30" s="128" t="str">
        <f t="shared" ca="1" si="10"/>
        <v/>
      </c>
      <c r="O30" s="128" t="str">
        <f t="shared" ca="1" si="10"/>
        <v/>
      </c>
      <c r="P30" s="128" t="str">
        <f t="shared" ca="1" si="10"/>
        <v/>
      </c>
      <c r="Q30" s="128" t="str">
        <f t="shared" ca="1" si="10"/>
        <v/>
      </c>
      <c r="R30" s="128" t="str">
        <f t="shared" ca="1" si="10"/>
        <v/>
      </c>
      <c r="S30" s="128" t="str">
        <f t="shared" ca="1" si="11"/>
        <v/>
      </c>
      <c r="T30" s="128" t="str">
        <f t="shared" ca="1" si="11"/>
        <v/>
      </c>
      <c r="U30" s="128" t="str">
        <f t="shared" ca="1" si="11"/>
        <v/>
      </c>
      <c r="V30" s="128" t="str">
        <f t="shared" ca="1" si="11"/>
        <v/>
      </c>
      <c r="W30" s="128" t="str">
        <f t="shared" ca="1" si="11"/>
        <v/>
      </c>
      <c r="X30" s="128" t="str">
        <f t="shared" ca="1" si="11"/>
        <v/>
      </c>
      <c r="Y30" s="128" t="str">
        <f t="shared" ca="1" si="11"/>
        <v/>
      </c>
      <c r="Z30" s="128" t="str">
        <f t="shared" ca="1" si="11"/>
        <v/>
      </c>
      <c r="AA30" s="128" t="str">
        <f t="shared" ca="1" si="11"/>
        <v/>
      </c>
      <c r="AB30" s="128" t="str">
        <f t="shared" ca="1" si="11"/>
        <v/>
      </c>
      <c r="AC30" s="128" t="str">
        <f t="shared" ca="1" si="12"/>
        <v/>
      </c>
      <c r="AD30" s="128" t="str">
        <f t="shared" ca="1" si="12"/>
        <v/>
      </c>
      <c r="AE30" s="128" t="str">
        <f t="shared" ca="1" si="12"/>
        <v/>
      </c>
      <c r="AF30" s="128" t="str">
        <f t="shared" ca="1" si="12"/>
        <v/>
      </c>
      <c r="AG30" s="128" t="str">
        <f t="shared" ca="1" si="12"/>
        <v/>
      </c>
      <c r="AH30" s="128" t="str">
        <f t="shared" ca="1" si="12"/>
        <v/>
      </c>
      <c r="AI30" s="128" t="str">
        <f t="shared" ca="1" si="12"/>
        <v/>
      </c>
      <c r="AJ30" s="128" t="str">
        <f t="shared" ca="1" si="12"/>
        <v/>
      </c>
      <c r="AK30" s="128" t="str">
        <f t="shared" ca="1" si="12"/>
        <v/>
      </c>
      <c r="AL30" s="128" t="str">
        <f t="shared" ca="1" si="12"/>
        <v/>
      </c>
      <c r="AM30" s="128" t="str">
        <f t="shared" ca="1" si="13"/>
        <v/>
      </c>
      <c r="AN30" s="128" t="str">
        <f t="shared" ca="1" si="13"/>
        <v/>
      </c>
      <c r="AO30" s="128" t="str">
        <f t="shared" ca="1" si="13"/>
        <v/>
      </c>
      <c r="AP30" s="128" t="str">
        <f t="shared" ca="1" si="13"/>
        <v/>
      </c>
      <c r="AQ30" s="128" t="str">
        <f t="shared" ca="1" si="13"/>
        <v/>
      </c>
      <c r="AR30" s="128" t="str">
        <f t="shared" ca="1" si="13"/>
        <v/>
      </c>
      <c r="AS30" s="128" t="str">
        <f t="shared" ca="1" si="13"/>
        <v/>
      </c>
      <c r="AT30" s="128" t="str">
        <f t="shared" ca="1" si="13"/>
        <v/>
      </c>
      <c r="AU30" s="128" t="str">
        <f t="shared" ca="1" si="13"/>
        <v/>
      </c>
      <c r="AV30" s="128" t="str">
        <f t="shared" ca="1" si="13"/>
        <v/>
      </c>
      <c r="AW30" s="128" t="str">
        <f t="shared" ca="1" si="14"/>
        <v/>
      </c>
      <c r="AX30" s="128" t="str">
        <f t="shared" ca="1" si="14"/>
        <v/>
      </c>
      <c r="AY30" s="128" t="str">
        <f t="shared" ca="1" si="14"/>
        <v/>
      </c>
      <c r="AZ30" s="128" t="str">
        <f t="shared" ca="1" si="14"/>
        <v/>
      </c>
      <c r="BA30" s="128" t="str">
        <f t="shared" ca="1" si="14"/>
        <v/>
      </c>
      <c r="BB30" s="128" t="str">
        <f t="shared" ca="1" si="14"/>
        <v/>
      </c>
      <c r="BC30" s="128" t="str">
        <f t="shared" ca="1" si="14"/>
        <v/>
      </c>
      <c r="BD30" s="128" t="str">
        <f t="shared" ca="1" si="14"/>
        <v/>
      </c>
      <c r="BE30" s="128" t="str">
        <f t="shared" ca="1" si="14"/>
        <v/>
      </c>
      <c r="BF30" s="128" t="str">
        <f t="shared" ca="1" si="14"/>
        <v/>
      </c>
      <c r="BG30" s="128" t="str">
        <f t="shared" ca="1" si="15"/>
        <v/>
      </c>
      <c r="BH30" s="128" t="str">
        <f t="shared" ca="1" si="15"/>
        <v/>
      </c>
      <c r="BI30" s="128" t="str">
        <f t="shared" ca="1" si="15"/>
        <v/>
      </c>
      <c r="BJ30" s="128" t="str">
        <f t="shared" ca="1" si="15"/>
        <v/>
      </c>
      <c r="BK30" s="128" t="str">
        <f t="shared" ca="1" si="15"/>
        <v/>
      </c>
      <c r="BL30" s="128" t="str">
        <f t="shared" ca="1" si="15"/>
        <v/>
      </c>
      <c r="BM30" s="93"/>
    </row>
    <row r="31" spans="1:65" s="18" customFormat="1" ht="39.75" customHeight="1">
      <c r="A31" s="13"/>
      <c r="B31" s="129" t="s">
        <v>57</v>
      </c>
      <c r="C31" s="122"/>
      <c r="D31" s="122"/>
      <c r="E31" s="123"/>
      <c r="F31" s="124" t="d">
        <f ca="1">F30+14</f>
        <v>2026-06-22</v>
      </c>
      <c r="G31" s="125">
        <v>5</v>
      </c>
      <c r="H31" s="126"/>
      <c r="I31" s="127" t="str">
        <f t="shared" ca="1" si="10"/>
        <v/>
      </c>
      <c r="J31" s="128" t="str">
        <f t="shared" ca="1" si="10"/>
        <v/>
      </c>
      <c r="K31" s="128" t="str">
        <f t="shared" ca="1" si="10"/>
        <v/>
      </c>
      <c r="L31" s="128" t="str">
        <f t="shared" ca="1" si="10"/>
        <v/>
      </c>
      <c r="M31" s="128" t="str">
        <f t="shared" ca="1" si="10"/>
        <v/>
      </c>
      <c r="N31" s="128" t="str">
        <f t="shared" ca="1" si="10"/>
        <v/>
      </c>
      <c r="O31" s="128" t="str">
        <f t="shared" ca="1" si="10"/>
        <v/>
      </c>
      <c r="P31" s="128" t="str">
        <f t="shared" ca="1" si="10"/>
        <v/>
      </c>
      <c r="Q31" s="128" t="str">
        <f t="shared" ca="1" si="10"/>
        <v/>
      </c>
      <c r="R31" s="128" t="str">
        <f t="shared" ca="1" si="10"/>
        <v/>
      </c>
      <c r="S31" s="128" t="str">
        <f t="shared" ca="1" si="11"/>
        <v/>
      </c>
      <c r="T31" s="128" t="str">
        <f t="shared" ca="1" si="11"/>
        <v/>
      </c>
      <c r="U31" s="128" t="str">
        <f t="shared" ca="1" si="11"/>
        <v/>
      </c>
      <c r="V31" s="128" t="str">
        <f t="shared" ca="1" si="11"/>
        <v/>
      </c>
      <c r="W31" s="128" t="str">
        <f t="shared" ca="1" si="11"/>
        <v/>
      </c>
      <c r="X31" s="128" t="str">
        <f t="shared" ca="1" si="11"/>
        <v/>
      </c>
      <c r="Y31" s="128" t="str">
        <f t="shared" ca="1" si="11"/>
        <v/>
      </c>
      <c r="Z31" s="128" t="str">
        <f t="shared" ca="1" si="11"/>
        <v/>
      </c>
      <c r="AA31" s="128" t="str">
        <f t="shared" ca="1" si="11"/>
        <v/>
      </c>
      <c r="AB31" s="128" t="str">
        <f t="shared" ca="1" si="11"/>
        <v/>
      </c>
      <c r="AC31" s="128" t="str">
        <f t="shared" ca="1" si="12"/>
        <v/>
      </c>
      <c r="AD31" s="128" t="str">
        <f t="shared" ca="1" si="12"/>
        <v/>
      </c>
      <c r="AE31" s="128" t="str">
        <f t="shared" ca="1" si="12"/>
        <v/>
      </c>
      <c r="AF31" s="128" t="str">
        <f t="shared" ca="1" si="12"/>
        <v/>
      </c>
      <c r="AG31" s="128" t="str">
        <f t="shared" ca="1" si="12"/>
        <v/>
      </c>
      <c r="AH31" s="128" t="str">
        <f t="shared" ca="1" si="12"/>
        <v/>
      </c>
      <c r="AI31" s="128" t="str">
        <f t="shared" ca="1" si="12"/>
        <v/>
      </c>
      <c r="AJ31" s="128" t="str">
        <f t="shared" ca="1" si="12"/>
        <v/>
      </c>
      <c r="AK31" s="128" t="str">
        <f t="shared" ca="1" si="12"/>
        <v/>
      </c>
      <c r="AL31" s="128" t="str">
        <f t="shared" ca="1" si="12"/>
        <v/>
      </c>
      <c r="AM31" s="128" t="str">
        <f t="shared" ca="1" si="13"/>
        <v/>
      </c>
      <c r="AN31" s="128" t="str">
        <f t="shared" ca="1" si="13"/>
        <v/>
      </c>
      <c r="AO31" s="128" t="str">
        <f t="shared" ca="1" si="13"/>
        <v/>
      </c>
      <c r="AP31" s="128" t="str">
        <f t="shared" ca="1" si="13"/>
        <v/>
      </c>
      <c r="AQ31" s="128" t="str">
        <f t="shared" ca="1" si="13"/>
        <v/>
      </c>
      <c r="AR31" s="128" t="str">
        <f t="shared" ca="1" si="13"/>
        <v/>
      </c>
      <c r="AS31" s="128" t="str">
        <f t="shared" ca="1" si="13"/>
        <v/>
      </c>
      <c r="AT31" s="128" t="str">
        <f t="shared" ca="1" si="13"/>
        <v/>
      </c>
      <c r="AU31" s="128" t="str">
        <f t="shared" ca="1" si="13"/>
        <v/>
      </c>
      <c r="AV31" s="128" t="str">
        <f t="shared" ca="1" si="13"/>
        <v/>
      </c>
      <c r="AW31" s="128" t="str">
        <f t="shared" ca="1" si="14"/>
        <v/>
      </c>
      <c r="AX31" s="128" t="str">
        <f t="shared" ca="1" si="14"/>
        <v/>
      </c>
      <c r="AY31" s="128" t="str">
        <f t="shared" ca="1" si="14"/>
        <v/>
      </c>
      <c r="AZ31" s="128" t="str">
        <f t="shared" ca="1" si="14"/>
        <v/>
      </c>
      <c r="BA31" s="128" t="str">
        <f t="shared" ca="1" si="14"/>
        <v/>
      </c>
      <c r="BB31" s="128" t="str">
        <f t="shared" ca="1" si="14"/>
        <v/>
      </c>
      <c r="BC31" s="128" t="str">
        <f t="shared" ca="1" si="14"/>
        <v/>
      </c>
      <c r="BD31" s="128" t="str">
        <f t="shared" ca="1" si="14"/>
        <v/>
      </c>
      <c r="BE31" s="128" t="str">
        <f t="shared" ca="1" si="14"/>
        <v/>
      </c>
      <c r="BF31" s="128" t="str">
        <f t="shared" ca="1" si="14"/>
        <v/>
      </c>
      <c r="BG31" s="128" t="str">
        <f t="shared" ca="1" si="15"/>
        <v/>
      </c>
      <c r="BH31" s="128" t="str">
        <f t="shared" ca="1" si="15"/>
        <v/>
      </c>
      <c r="BI31" s="128" t="str">
        <f t="shared" ca="1" si="15"/>
        <v/>
      </c>
      <c r="BJ31" s="128" t="str">
        <f t="shared" ca="1" si="15"/>
        <v/>
      </c>
      <c r="BK31" s="128" t="str">
        <f t="shared" ca="1" si="15"/>
        <v/>
      </c>
      <c r="BL31" s="128" t="str">
        <f t="shared" ca="1" si="15"/>
        <v/>
      </c>
      <c r="BM31" s="93"/>
    </row>
    <row r="32" spans="1:65" s="18" customFormat="1" ht="39.75" customHeight="1">
      <c r="A32" s="13"/>
      <c r="B32" s="129" t="s">
        <v>58</v>
      </c>
      <c r="C32" s="122" t="s">
        <v>46</v>
      </c>
      <c r="D32" s="122"/>
      <c r="E32" s="123"/>
      <c r="F32" s="124" t="d">
        <f ca="1">F31+42</f>
        <v>2026-08-03</v>
      </c>
      <c r="G32" s="125">
        <v>1</v>
      </c>
      <c r="H32" s="126"/>
      <c r="I32" s="127" t="str">
        <f t="shared" ca="1" si="10"/>
        <v/>
      </c>
      <c r="J32" s="128" t="str">
        <f t="shared" ca="1" si="10"/>
        <v/>
      </c>
      <c r="K32" s="128" t="str">
        <f t="shared" ca="1" si="10"/>
        <v/>
      </c>
      <c r="L32" s="128" t="str">
        <f t="shared" ca="1" si="10"/>
        <v/>
      </c>
      <c r="M32" s="128" t="str">
        <f t="shared" ca="1" si="10"/>
        <v/>
      </c>
      <c r="N32" s="128" t="str">
        <f t="shared" ca="1" si="10"/>
        <v/>
      </c>
      <c r="O32" s="128" t="str">
        <f t="shared" ca="1" si="10"/>
        <v/>
      </c>
      <c r="P32" s="128" t="str">
        <f t="shared" ca="1" si="10"/>
        <v/>
      </c>
      <c r="Q32" s="128" t="str">
        <f t="shared" ca="1" si="10"/>
        <v/>
      </c>
      <c r="R32" s="128" t="str">
        <f t="shared" ca="1" si="10"/>
        <v/>
      </c>
      <c r="S32" s="128" t="str">
        <f t="shared" ca="1" si="11"/>
        <v/>
      </c>
      <c r="T32" s="128" t="str">
        <f t="shared" ca="1" si="11"/>
        <v/>
      </c>
      <c r="U32" s="128" t="str">
        <f t="shared" ca="1" si="11"/>
        <v/>
      </c>
      <c r="V32" s="128" t="str">
        <f t="shared" ca="1" si="11"/>
        <v/>
      </c>
      <c r="W32" s="128" t="str">
        <f t="shared" ca="1" si="11"/>
        <v/>
      </c>
      <c r="X32" s="128" t="str">
        <f t="shared" ca="1" si="11"/>
        <v/>
      </c>
      <c r="Y32" s="128" t="str">
        <f t="shared" ca="1" si="11"/>
        <v/>
      </c>
      <c r="Z32" s="128" t="str">
        <f t="shared" ca="1" si="11"/>
        <v/>
      </c>
      <c r="AA32" s="128" t="str">
        <f t="shared" ca="1" si="11"/>
        <v/>
      </c>
      <c r="AB32" s="128" t="str">
        <f t="shared" ca="1" si="11"/>
        <v/>
      </c>
      <c r="AC32" s="128" t="str">
        <f t="shared" ca="1" si="12"/>
        <v/>
      </c>
      <c r="AD32" s="128" t="str">
        <f t="shared" ca="1" si="12"/>
        <v/>
      </c>
      <c r="AE32" s="128" t="str">
        <f t="shared" ca="1" si="12"/>
        <v/>
      </c>
      <c r="AF32" s="128" t="str">
        <f t="shared" ca="1" si="12"/>
        <v/>
      </c>
      <c r="AG32" s="128" t="str">
        <f t="shared" ca="1" si="12"/>
        <v/>
      </c>
      <c r="AH32" s="128" t="str">
        <f t="shared" ca="1" si="12"/>
        <v/>
      </c>
      <c r="AI32" s="128" t="str">
        <f t="shared" ca="1" si="12"/>
        <v/>
      </c>
      <c r="AJ32" s="128" t="str">
        <f t="shared" ca="1" si="12"/>
        <v/>
      </c>
      <c r="AK32" s="128" t="str">
        <f t="shared" ca="1" si="12"/>
        <v/>
      </c>
      <c r="AL32" s="128" t="str">
        <f t="shared" ca="1" si="12"/>
        <v/>
      </c>
      <c r="AM32" s="128" t="str">
        <f t="shared" ca="1" si="13"/>
        <v/>
      </c>
      <c r="AN32" s="128" t="str">
        <f t="shared" ca="1" si="13"/>
        <v/>
      </c>
      <c r="AO32" s="128" t="str">
        <f t="shared" ca="1" si="13"/>
        <v/>
      </c>
      <c r="AP32" s="128" t="str">
        <f t="shared" ca="1" si="13"/>
        <v/>
      </c>
      <c r="AQ32" s="128" t="str">
        <f t="shared" ca="1" si="13"/>
        <v/>
      </c>
      <c r="AR32" s="128" t="str">
        <f t="shared" ca="1" si="13"/>
        <v/>
      </c>
      <c r="AS32" s="128" t="str">
        <f t="shared" ca="1" si="13"/>
        <v/>
      </c>
      <c r="AT32" s="128" t="str">
        <f t="shared" ca="1" si="13"/>
        <v/>
      </c>
      <c r="AU32" s="128" t="str">
        <f t="shared" ca="1" si="13"/>
        <v/>
      </c>
      <c r="AV32" s="128" t="str">
        <f t="shared" ca="1" si="13"/>
        <v/>
      </c>
      <c r="AW32" s="128" t="str">
        <f t="shared" ca="1" si="14"/>
        <v/>
      </c>
      <c r="AX32" s="128" t="str">
        <f t="shared" ca="1" si="14"/>
        <v/>
      </c>
      <c r="AY32" s="128" t="str">
        <f t="shared" ca="1" si="14"/>
        <v/>
      </c>
      <c r="AZ32" s="128" t="str">
        <f t="shared" ca="1" si="14"/>
        <v/>
      </c>
      <c r="BA32" s="128" t="str">
        <f t="shared" ca="1" si="14"/>
        <v/>
      </c>
      <c r="BB32" s="128" t="str">
        <f t="shared" ca="1" si="14"/>
        <v/>
      </c>
      <c r="BC32" s="128" t="str">
        <f t="shared" ca="1" si="14"/>
        <v/>
      </c>
      <c r="BD32" s="128" t="str">
        <f t="shared" ca="1" si="14"/>
        <v/>
      </c>
      <c r="BE32" s="128" t="str">
        <f t="shared" ca="1" si="14"/>
        <v/>
      </c>
      <c r="BF32" s="128" t="str">
        <f t="shared" ca="1" si="14"/>
        <v/>
      </c>
      <c r="BG32" s="128" t="str">
        <f t="shared" ca="1" si="15"/>
        <v/>
      </c>
      <c r="BH32" s="128" t="str">
        <f t="shared" ca="1" si="15"/>
        <v/>
      </c>
      <c r="BI32" s="128" t="str">
        <f t="shared" ca="1" si="15"/>
        <v/>
      </c>
      <c r="BJ32" s="128" t="str">
        <f t="shared" ca="1" si="15"/>
        <v/>
      </c>
      <c r="BK32" s="128" t="str">
        <f t="shared" ca="1" si="15"/>
        <v/>
      </c>
      <c r="BL32" s="128" t="str">
        <f t="shared" ca="1" si="15"/>
        <v/>
      </c>
      <c r="BM32" s="93"/>
    </row>
    <row r="33" spans="1:65" s="18" customFormat="1" ht="39.75" customHeight="1">
      <c r="A33" s="13"/>
      <c r="B33" s="129" t="s">
        <v>59</v>
      </c>
      <c r="C33" s="122"/>
      <c r="D33" s="122"/>
      <c r="E33" s="123"/>
      <c r="F33" s="124"/>
      <c r="G33" s="125"/>
      <c r="H33" s="126"/>
      <c r="I33" s="127" t="str">
        <f t="shared" ca="1" si="10"/>
        <v/>
      </c>
      <c r="J33" s="128" t="str">
        <f t="shared" ca="1" si="10"/>
        <v/>
      </c>
      <c r="K33" s="128" t="str">
        <f t="shared" ca="1" si="10"/>
        <v/>
      </c>
      <c r="L33" s="128" t="str">
        <f t="shared" ca="1" si="10"/>
        <v/>
      </c>
      <c r="M33" s="128" t="str">
        <f t="shared" ca="1" si="10"/>
        <v/>
      </c>
      <c r="N33" s="128" t="str">
        <f t="shared" ca="1" si="10"/>
        <v/>
      </c>
      <c r="O33" s="128" t="str">
        <f t="shared" ca="1" si="10"/>
        <v/>
      </c>
      <c r="P33" s="128" t="str">
        <f t="shared" ca="1" si="10"/>
        <v/>
      </c>
      <c r="Q33" s="128" t="str">
        <f t="shared" ca="1" si="10"/>
        <v/>
      </c>
      <c r="R33" s="128" t="str">
        <f t="shared" ca="1" si="10"/>
        <v/>
      </c>
      <c r="S33" s="128" t="str">
        <f t="shared" ca="1" si="11"/>
        <v/>
      </c>
      <c r="T33" s="128" t="str">
        <f t="shared" ca="1" si="11"/>
        <v/>
      </c>
      <c r="U33" s="128" t="str">
        <f t="shared" ca="1" si="11"/>
        <v/>
      </c>
      <c r="V33" s="128" t="str">
        <f t="shared" ca="1" si="11"/>
        <v/>
      </c>
      <c r="W33" s="128" t="str">
        <f t="shared" ca="1" si="11"/>
        <v/>
      </c>
      <c r="X33" s="128" t="str">
        <f t="shared" ca="1" si="11"/>
        <v/>
      </c>
      <c r="Y33" s="128" t="str">
        <f t="shared" ca="1" si="11"/>
        <v/>
      </c>
      <c r="Z33" s="128" t="str">
        <f t="shared" ca="1" si="11"/>
        <v/>
      </c>
      <c r="AA33" s="128" t="str">
        <f t="shared" ca="1" si="11"/>
        <v/>
      </c>
      <c r="AB33" s="128" t="str">
        <f t="shared" ca="1" si="11"/>
        <v/>
      </c>
      <c r="AC33" s="128" t="str">
        <f t="shared" ca="1" si="12"/>
        <v/>
      </c>
      <c r="AD33" s="128" t="str">
        <f t="shared" ca="1" si="12"/>
        <v/>
      </c>
      <c r="AE33" s="128" t="str">
        <f t="shared" ca="1" si="12"/>
        <v/>
      </c>
      <c r="AF33" s="128" t="str">
        <f t="shared" ca="1" si="12"/>
        <v/>
      </c>
      <c r="AG33" s="128" t="str">
        <f t="shared" ca="1" si="12"/>
        <v/>
      </c>
      <c r="AH33" s="128" t="str">
        <f t="shared" ca="1" si="12"/>
        <v/>
      </c>
      <c r="AI33" s="128" t="str">
        <f t="shared" ca="1" si="12"/>
        <v/>
      </c>
      <c r="AJ33" s="128" t="str">
        <f t="shared" ca="1" si="12"/>
        <v/>
      </c>
      <c r="AK33" s="128" t="str">
        <f t="shared" ca="1" si="12"/>
        <v/>
      </c>
      <c r="AL33" s="128" t="str">
        <f t="shared" ca="1" si="12"/>
        <v/>
      </c>
      <c r="AM33" s="128" t="str">
        <f t="shared" ca="1" si="13"/>
        <v/>
      </c>
      <c r="AN33" s="128" t="str">
        <f t="shared" ca="1" si="13"/>
        <v/>
      </c>
      <c r="AO33" s="128" t="str">
        <f t="shared" ca="1" si="13"/>
        <v/>
      </c>
      <c r="AP33" s="128" t="str">
        <f t="shared" ca="1" si="13"/>
        <v/>
      </c>
      <c r="AQ33" s="128" t="str">
        <f t="shared" ca="1" si="13"/>
        <v/>
      </c>
      <c r="AR33" s="128" t="str">
        <f t="shared" ca="1" si="13"/>
        <v/>
      </c>
      <c r="AS33" s="128" t="str">
        <f t="shared" ca="1" si="13"/>
        <v/>
      </c>
      <c r="AT33" s="128" t="str">
        <f t="shared" ca="1" si="13"/>
        <v/>
      </c>
      <c r="AU33" s="128" t="str">
        <f t="shared" ca="1" si="13"/>
        <v/>
      </c>
      <c r="AV33" s="128" t="str">
        <f t="shared" ca="1" si="13"/>
        <v/>
      </c>
      <c r="AW33" s="128" t="str">
        <f t="shared" ca="1" si="14"/>
        <v/>
      </c>
      <c r="AX33" s="128" t="str">
        <f t="shared" ca="1" si="14"/>
        <v/>
      </c>
      <c r="AY33" s="128" t="str">
        <f t="shared" ca="1" si="14"/>
        <v/>
      </c>
      <c r="AZ33" s="128" t="str">
        <f t="shared" ca="1" si="14"/>
        <v/>
      </c>
      <c r="BA33" s="128" t="str">
        <f t="shared" ca="1" si="14"/>
        <v/>
      </c>
      <c r="BB33" s="128" t="str">
        <f t="shared" ca="1" si="14"/>
        <v/>
      </c>
      <c r="BC33" s="128" t="str">
        <f t="shared" ca="1" si="14"/>
        <v/>
      </c>
      <c r="BD33" s="128" t="str">
        <f t="shared" ca="1" si="14"/>
        <v/>
      </c>
      <c r="BE33" s="128" t="str">
        <f t="shared" ca="1" si="14"/>
        <v/>
      </c>
      <c r="BF33" s="128" t="str">
        <f t="shared" ca="1" si="14"/>
        <v/>
      </c>
      <c r="BG33" s="128" t="str">
        <f t="shared" ca="1" si="15"/>
        <v/>
      </c>
      <c r="BH33" s="128" t="str">
        <f t="shared" ca="1" si="15"/>
        <v/>
      </c>
      <c r="BI33" s="128" t="str">
        <f t="shared" ca="1" si="15"/>
        <v/>
      </c>
      <c r="BJ33" s="128" t="str">
        <f t="shared" ca="1" si="15"/>
        <v/>
      </c>
      <c r="BK33" s="128" t="str">
        <f t="shared" ca="1" si="15"/>
        <v/>
      </c>
      <c r="BL33" s="128" t="str">
        <f t="shared" ca="1" si="15"/>
        <v/>
      </c>
      <c r="BM33" s="93"/>
    </row>
    <row r="34" spans="1:65" s="18" customFormat="1" ht="39.75" customHeight="1">
      <c r="A34" s="13"/>
      <c r="B34" s="129" t="s">
        <v>41</v>
      </c>
      <c r="C34" s="122"/>
      <c r="D34" s="122"/>
      <c r="E34" s="123"/>
      <c r="F34" s="124"/>
      <c r="G34" s="125"/>
      <c r="H34" s="126"/>
      <c r="I34" s="127" t="str">
        <f t="shared" ca="1" si="10"/>
        <v/>
      </c>
      <c r="J34" s="128" t="str">
        <f t="shared" ca="1" si="10"/>
        <v/>
      </c>
      <c r="K34" s="128" t="str">
        <f t="shared" ca="1" si="10"/>
        <v/>
      </c>
      <c r="L34" s="128" t="str">
        <f t="shared" ca="1" si="10"/>
        <v/>
      </c>
      <c r="M34" s="128" t="str">
        <f t="shared" ca="1" si="10"/>
        <v/>
      </c>
      <c r="N34" s="128" t="str">
        <f t="shared" ca="1" si="10"/>
        <v/>
      </c>
      <c r="O34" s="128" t="str">
        <f t="shared" ca="1" si="10"/>
        <v/>
      </c>
      <c r="P34" s="128" t="str">
        <f t="shared" ca="1" si="10"/>
        <v/>
      </c>
      <c r="Q34" s="128" t="str">
        <f t="shared" ca="1" si="10"/>
        <v/>
      </c>
      <c r="R34" s="128" t="str">
        <f t="shared" ca="1" si="10"/>
        <v/>
      </c>
      <c r="S34" s="128" t="str">
        <f t="shared" ca="1" si="11"/>
        <v/>
      </c>
      <c r="T34" s="128" t="str">
        <f t="shared" ca="1" si="11"/>
        <v/>
      </c>
      <c r="U34" s="128" t="str">
        <f t="shared" ca="1" si="11"/>
        <v/>
      </c>
      <c r="V34" s="128" t="str">
        <f t="shared" ca="1" si="11"/>
        <v/>
      </c>
      <c r="W34" s="128" t="str">
        <f t="shared" ca="1" si="11"/>
        <v/>
      </c>
      <c r="X34" s="128" t="str">
        <f t="shared" ca="1" si="11"/>
        <v/>
      </c>
      <c r="Y34" s="128" t="str">
        <f t="shared" ca="1" si="11"/>
        <v/>
      </c>
      <c r="Z34" s="128" t="str">
        <f t="shared" ca="1" si="11"/>
        <v/>
      </c>
      <c r="AA34" s="128" t="str">
        <f t="shared" ca="1" si="11"/>
        <v/>
      </c>
      <c r="AB34" s="128" t="str">
        <f t="shared" ca="1" si="11"/>
        <v/>
      </c>
      <c r="AC34" s="128" t="str">
        <f t="shared" ca="1" si="12"/>
        <v/>
      </c>
      <c r="AD34" s="128" t="str">
        <f t="shared" ca="1" si="12"/>
        <v/>
      </c>
      <c r="AE34" s="128" t="str">
        <f t="shared" ca="1" si="12"/>
        <v/>
      </c>
      <c r="AF34" s="128" t="str">
        <f t="shared" ca="1" si="12"/>
        <v/>
      </c>
      <c r="AG34" s="128" t="str">
        <f t="shared" ca="1" si="12"/>
        <v/>
      </c>
      <c r="AH34" s="128" t="str">
        <f t="shared" ca="1" si="12"/>
        <v/>
      </c>
      <c r="AI34" s="128" t="str">
        <f t="shared" ca="1" si="12"/>
        <v/>
      </c>
      <c r="AJ34" s="128" t="str">
        <f t="shared" ca="1" si="12"/>
        <v/>
      </c>
      <c r="AK34" s="128" t="str">
        <f t="shared" ca="1" si="12"/>
        <v/>
      </c>
      <c r="AL34" s="128" t="str">
        <f t="shared" ca="1" si="12"/>
        <v/>
      </c>
      <c r="AM34" s="128" t="str">
        <f t="shared" ca="1" si="13"/>
        <v/>
      </c>
      <c r="AN34" s="128" t="str">
        <f t="shared" ca="1" si="13"/>
        <v/>
      </c>
      <c r="AO34" s="128" t="str">
        <f t="shared" ca="1" si="13"/>
        <v/>
      </c>
      <c r="AP34" s="128" t="str">
        <f t="shared" ca="1" si="13"/>
        <v/>
      </c>
      <c r="AQ34" s="128" t="str">
        <f t="shared" ca="1" si="13"/>
        <v/>
      </c>
      <c r="AR34" s="128" t="str">
        <f t="shared" ca="1" si="13"/>
        <v/>
      </c>
      <c r="AS34" s="128" t="str">
        <f t="shared" ca="1" si="13"/>
        <v/>
      </c>
      <c r="AT34" s="128" t="str">
        <f t="shared" ca="1" si="13"/>
        <v/>
      </c>
      <c r="AU34" s="128" t="str">
        <f t="shared" ca="1" si="13"/>
        <v/>
      </c>
      <c r="AV34" s="128" t="str">
        <f t="shared" ca="1" si="13"/>
        <v/>
      </c>
      <c r="AW34" s="128" t="str">
        <f t="shared" ca="1" si="14"/>
        <v/>
      </c>
      <c r="AX34" s="128" t="str">
        <f t="shared" ca="1" si="14"/>
        <v/>
      </c>
      <c r="AY34" s="128" t="str">
        <f t="shared" ca="1" si="14"/>
        <v/>
      </c>
      <c r="AZ34" s="128" t="str">
        <f t="shared" ca="1" si="14"/>
        <v/>
      </c>
      <c r="BA34" s="128" t="str">
        <f t="shared" ca="1" si="14"/>
        <v/>
      </c>
      <c r="BB34" s="128" t="str">
        <f t="shared" ca="1" si="14"/>
        <v/>
      </c>
      <c r="BC34" s="128" t="str">
        <f t="shared" ca="1" si="14"/>
        <v/>
      </c>
      <c r="BD34" s="128" t="str">
        <f t="shared" ca="1" si="14"/>
        <v/>
      </c>
      <c r="BE34" s="128" t="str">
        <f t="shared" ca="1" si="14"/>
        <v/>
      </c>
      <c r="BF34" s="128" t="str">
        <f t="shared" ca="1" si="14"/>
        <v/>
      </c>
      <c r="BG34" s="128" t="str">
        <f t="shared" ca="1" si="15"/>
        <v/>
      </c>
      <c r="BH34" s="128" t="str">
        <f t="shared" ca="1" si="15"/>
        <v/>
      </c>
      <c r="BI34" s="128" t="str">
        <f t="shared" ca="1" si="15"/>
        <v/>
      </c>
      <c r="BJ34" s="128" t="str">
        <f t="shared" ca="1" si="15"/>
        <v/>
      </c>
      <c r="BK34" s="128" t="str">
        <f t="shared" ca="1" si="15"/>
        <v/>
      </c>
      <c r="BL34" s="128" t="str">
        <f t="shared" ca="1" si="15"/>
        <v/>
      </c>
      <c r="BM34" s="93"/>
    </row>
    <row r="35" spans="1:65" s="18" customFormat="1" ht="39.75" customHeight="1">
      <c r="A35" s="13"/>
      <c r="B35" s="129"/>
      <c r="C35" s="122"/>
      <c r="D35" s="122"/>
      <c r="E35" s="123"/>
      <c r="F35" s="124"/>
      <c r="G35" s="125"/>
      <c r="H35" s="126"/>
      <c r="I35" s="127" t="str">
        <f t="shared" ca="1" si="10"/>
        <v/>
      </c>
      <c r="J35" s="128" t="str">
        <f t="shared" ca="1" si="10"/>
        <v/>
      </c>
      <c r="K35" s="128" t="str">
        <f t="shared" ca="1" si="10"/>
        <v/>
      </c>
      <c r="L35" s="128" t="str">
        <f t="shared" ca="1" si="10"/>
        <v/>
      </c>
      <c r="M35" s="128" t="str">
        <f t="shared" ca="1" si="10"/>
        <v/>
      </c>
      <c r="N35" s="128" t="str">
        <f t="shared" ca="1" si="10"/>
        <v/>
      </c>
      <c r="O35" s="128" t="str">
        <f t="shared" ca="1" si="10"/>
        <v/>
      </c>
      <c r="P35" s="128" t="str">
        <f t="shared" ca="1" si="10"/>
        <v/>
      </c>
      <c r="Q35" s="128" t="str">
        <f t="shared" ca="1" si="10"/>
        <v/>
      </c>
      <c r="R35" s="128" t="str">
        <f t="shared" ca="1" si="10"/>
        <v/>
      </c>
      <c r="S35" s="128" t="str">
        <f t="shared" ca="1" si="11"/>
        <v/>
      </c>
      <c r="T35" s="128" t="str">
        <f t="shared" ca="1" si="11"/>
        <v/>
      </c>
      <c r="U35" s="128" t="str">
        <f t="shared" ca="1" si="11"/>
        <v/>
      </c>
      <c r="V35" s="128" t="str">
        <f t="shared" ca="1" si="11"/>
        <v/>
      </c>
      <c r="W35" s="128" t="str">
        <f t="shared" ca="1" si="11"/>
        <v/>
      </c>
      <c r="X35" s="128" t="str">
        <f t="shared" ca="1" si="11"/>
        <v/>
      </c>
      <c r="Y35" s="128" t="str">
        <f t="shared" ca="1" si="11"/>
        <v/>
      </c>
      <c r="Z35" s="128" t="str">
        <f t="shared" ca="1" si="11"/>
        <v/>
      </c>
      <c r="AA35" s="128" t="str">
        <f t="shared" ca="1" si="11"/>
        <v/>
      </c>
      <c r="AB35" s="128" t="str">
        <f t="shared" ca="1" si="11"/>
        <v/>
      </c>
      <c r="AC35" s="128" t="str">
        <f t="shared" ca="1" si="12"/>
        <v/>
      </c>
      <c r="AD35" s="128" t="str">
        <f t="shared" ca="1" si="12"/>
        <v/>
      </c>
      <c r="AE35" s="128" t="str">
        <f t="shared" ca="1" si="12"/>
        <v/>
      </c>
      <c r="AF35" s="128" t="str">
        <f t="shared" ca="1" si="12"/>
        <v/>
      </c>
      <c r="AG35" s="128" t="str">
        <f t="shared" ca="1" si="12"/>
        <v/>
      </c>
      <c r="AH35" s="128" t="str">
        <f t="shared" ca="1" si="12"/>
        <v/>
      </c>
      <c r="AI35" s="128" t="str">
        <f t="shared" ca="1" si="12"/>
        <v/>
      </c>
      <c r="AJ35" s="128" t="str">
        <f t="shared" ca="1" si="12"/>
        <v/>
      </c>
      <c r="AK35" s="128" t="str">
        <f t="shared" ca="1" si="12"/>
        <v/>
      </c>
      <c r="AL35" s="128" t="str">
        <f t="shared" ca="1" si="12"/>
        <v/>
      </c>
      <c r="AM35" s="128" t="str">
        <f t="shared" ca="1" si="13"/>
        <v/>
      </c>
      <c r="AN35" s="128" t="str">
        <f t="shared" ca="1" si="13"/>
        <v/>
      </c>
      <c r="AO35" s="128" t="str">
        <f t="shared" ca="1" si="13"/>
        <v/>
      </c>
      <c r="AP35" s="128" t="str">
        <f t="shared" ca="1" si="13"/>
        <v/>
      </c>
      <c r="AQ35" s="128" t="str">
        <f t="shared" ca="1" si="13"/>
        <v/>
      </c>
      <c r="AR35" s="128" t="str">
        <f t="shared" ca="1" si="13"/>
        <v/>
      </c>
      <c r="AS35" s="128" t="str">
        <f t="shared" ca="1" si="13"/>
        <v/>
      </c>
      <c r="AT35" s="128" t="str">
        <f t="shared" ca="1" si="13"/>
        <v/>
      </c>
      <c r="AU35" s="128" t="str">
        <f t="shared" ca="1" si="13"/>
        <v/>
      </c>
      <c r="AV35" s="128" t="str">
        <f t="shared" ca="1" si="13"/>
        <v/>
      </c>
      <c r="AW35" s="128" t="str">
        <f t="shared" ca="1" si="14"/>
        <v/>
      </c>
      <c r="AX35" s="128" t="str">
        <f t="shared" ca="1" si="14"/>
        <v/>
      </c>
      <c r="AY35" s="128" t="str">
        <f t="shared" ca="1" si="14"/>
        <v/>
      </c>
      <c r="AZ35" s="128" t="str">
        <f t="shared" ca="1" si="14"/>
        <v/>
      </c>
      <c r="BA35" s="128" t="str">
        <f t="shared" ca="1" si="14"/>
        <v/>
      </c>
      <c r="BB35" s="128" t="str">
        <f t="shared" ca="1" si="14"/>
        <v/>
      </c>
      <c r="BC35" s="128" t="str">
        <f t="shared" ca="1" si="14"/>
        <v/>
      </c>
      <c r="BD35" s="128" t="str">
        <f t="shared" ca="1" si="14"/>
        <v/>
      </c>
      <c r="BE35" s="128" t="str">
        <f t="shared" ca="1" si="14"/>
        <v/>
      </c>
      <c r="BF35" s="128" t="str">
        <f t="shared" ca="1" si="14"/>
        <v/>
      </c>
      <c r="BG35" s="128" t="str">
        <f t="shared" ca="1" si="15"/>
        <v/>
      </c>
      <c r="BH35" s="128" t="str">
        <f t="shared" ca="1" si="15"/>
        <v/>
      </c>
      <c r="BI35" s="128" t="str">
        <f t="shared" ca="1" si="15"/>
        <v/>
      </c>
      <c r="BJ35" s="128" t="str">
        <f t="shared" ca="1" si="15"/>
        <v/>
      </c>
      <c r="BK35" s="128" t="str">
        <f t="shared" ca="1" si="15"/>
        <v/>
      </c>
      <c r="BL35" s="128" t="str">
        <f t="shared" ca="1" si="15"/>
        <v/>
      </c>
      <c r="BM35" s="130"/>
    </row>
    <row r="36" spans="1:65" s="18" customFormat="1" ht="39.75" customHeight="1">
      <c r="A36" s="15"/>
      <c r="B36" s="131" t="s">
        <v>64</v>
      </c>
      <c r="C36" s="126"/>
      <c r="D36" s="126"/>
      <c r="E36" s="96"/>
      <c r="F36" s="132"/>
      <c r="G36" s="133"/>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93"/>
    </row>
    <row r="37" spans="1:65" ht="30" customHeight="1">
      <c r="D37" s="78"/>
      <c r="G37" s="77"/>
      <c r="H37" s="24"/>
    </row>
    <row r="38" spans="1:65" ht="30" customHeight="1">
      <c r="D38" s="81"/>
    </row>
  </sheetData>
  <mergeCells count="8">
    <mergeCell ref="X4:AA4"/>
    <mergeCell ref="AC4:AF4"/>
    <mergeCell ref="B2:H2"/>
    <mergeCell ref="I2:N2"/>
    <mergeCell ref="O2:T2"/>
    <mergeCell ref="I4:L4"/>
    <mergeCell ref="N4:Q4"/>
    <mergeCell ref="S4:V4"/>
  </mergeCells>
  <conditionalFormatting sqref="I6:BL6">
    <cfRule type="expression" dxfId="3" priority="4" stopIfTrue="1">
      <formula>AND(I$7&lt;=EOMONTH($I$7,1),I$7&gt;EOMONTH($I$7,0))</formula>
    </cfRule>
  </conditionalFormatting>
  <conditionalFormatting sqref="I7:BL36">
    <cfRule type="expression" dxfId="2" priority="5" stopIfTrue="1">
      <formula>AND(TODAY()&gt;=I$7,TODAY()&lt;J$7)</formula>
    </cfRule>
  </conditionalFormatting>
  <printOptions horizontalCentered="1"/>
  <pageMargins left="0.25" right="0.25" top="0.89370078740157499" bottom="0.54724409448818911" header="0.5" footer="0.30000000000000004"/>
  <pageSetup paperSize="0" fitToHeight="0" orientation="landscape" horizontalDpi="0" verticalDpi="0" copies="0"/>
  <headerFooter alignWithMargins="0">
    <oddFooter>&amp;C&amp;"Calibri1,Regular"&amp;11&amp;K000000Page &amp;P of &amp;N</oddFooter>
  </headerFooter>
  <tableParts count="1">
    <tablePart r:id="rId1"/>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90AD-F177-47B9-ADA4-828A48DDB7AB}">
  <sheetPr>
    <pageSetUpPr fitToPage="1"/>
  </sheetPr>
  <dimension ref="A1:BP38"/>
  <sheetViews>
    <sheetView workbookViewId="0"/>
  </sheetViews>
  <sheetFormatPr defaultColWidth="9.28515625" defaultRowHeight="30" customHeight="1"/>
  <cols>
    <col min="1" max="1" width="5" style="13" customWidth="1"/>
    <col min="2" max="2" width="32.42578125" style="4" customWidth="1"/>
    <col min="3" max="3" width="14" style="4" customWidth="1"/>
    <col min="4" max="4" width="21.7109375" style="4" customWidth="1"/>
    <col min="5" max="5" width="16.5703125" style="4" customWidth="1"/>
    <col min="6" max="6" width="11" style="14" customWidth="1"/>
    <col min="7" max="7" width="11" style="4" customWidth="1"/>
    <col min="8" max="8" width="2.85546875" style="4" customWidth="1"/>
    <col min="9" max="64" width="3.7109375" style="4" customWidth="1"/>
    <col min="65" max="65" width="2.85546875" style="4" customWidth="1"/>
    <col min="66" max="66" width="9.28515625" style="4" customWidth="1"/>
    <col min="67" max="16384" width="9.28515625" style="4"/>
  </cols>
  <sheetData>
    <row r="1" spans="1:68" ht="24.75" customHeight="1"/>
    <row r="2" spans="1:68" ht="49.5" customHeight="1">
      <c r="A2" s="15"/>
      <c r="B2" s="140" t="s">
        <v>3</v>
      </c>
      <c r="C2" s="140"/>
      <c r="D2" s="140"/>
      <c r="E2" s="140"/>
      <c r="F2" s="140"/>
      <c r="G2" s="140"/>
      <c r="H2" s="140"/>
      <c r="I2" s="141"/>
      <c r="J2" s="141"/>
      <c r="K2" s="141"/>
      <c r="L2" s="141"/>
      <c r="M2" s="141"/>
      <c r="N2" s="141"/>
      <c r="O2" s="141"/>
      <c r="P2" s="141"/>
      <c r="Q2" s="141"/>
      <c r="R2" s="141"/>
      <c r="S2" s="141"/>
      <c r="T2" s="141"/>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row>
    <row r="3" spans="1:68" ht="19.5" customHeight="1">
      <c r="A3" s="15"/>
      <c r="B3" s="16"/>
      <c r="C3" s="17"/>
      <c r="D3" s="18"/>
      <c r="E3" s="18"/>
      <c r="F3" s="19"/>
      <c r="G3" s="18"/>
      <c r="H3" s="18"/>
      <c r="I3" s="20"/>
      <c r="J3" s="18"/>
      <c r="K3" s="18"/>
      <c r="L3" s="18"/>
    </row>
    <row r="4" spans="1:68" ht="30" customHeight="1">
      <c r="A4" s="15"/>
      <c r="B4" s="21" t="s">
        <v>4</v>
      </c>
      <c r="C4" s="22"/>
      <c r="D4" s="23"/>
      <c r="G4" s="24" t="s">
        <v>6</v>
      </c>
      <c r="I4" s="85" t="s">
        <v>7</v>
      </c>
      <c r="J4" s="85"/>
      <c r="K4" s="85"/>
      <c r="L4" s="85"/>
      <c r="N4" s="86" t="s">
        <v>8</v>
      </c>
      <c r="O4" s="86"/>
      <c r="P4" s="86"/>
      <c r="Q4" s="86"/>
      <c r="S4" s="87" t="s">
        <v>9</v>
      </c>
      <c r="T4" s="87"/>
      <c r="U4" s="87"/>
      <c r="V4" s="87"/>
      <c r="X4" s="88" t="s">
        <v>10</v>
      </c>
      <c r="Y4" s="88"/>
      <c r="Z4" s="88"/>
      <c r="AA4" s="88"/>
      <c r="AC4" s="89" t="s">
        <v>11</v>
      </c>
      <c r="AD4" s="89"/>
      <c r="AE4" s="89"/>
      <c r="AF4" s="89"/>
    </row>
    <row r="5" spans="1:68" ht="30" customHeight="1">
      <c r="A5" s="15"/>
      <c r="B5" s="25" t="s">
        <v>12</v>
      </c>
      <c r="C5" s="23"/>
      <c r="D5" s="23"/>
    </row>
    <row r="6" spans="1:68" ht="30" customHeight="1">
      <c r="A6" s="15"/>
      <c r="B6" s="26" t="s">
        <v>14</v>
      </c>
      <c r="C6" s="27" t="d">
        <v>2026-04-22</v>
      </c>
      <c r="D6" s="28"/>
      <c r="I6" s="29" t="str">
        <f ca="1">TEXT(I7,"mmmm")</f>
        <v>April</v>
      </c>
      <c r="J6" s="29"/>
      <c r="K6" s="29"/>
      <c r="L6" s="29"/>
      <c r="M6" s="29"/>
      <c r="N6" s="29"/>
      <c r="O6" s="29"/>
      <c r="P6" s="29" t="str">
        <f ca="1">IF(TEXT(P7,"mmmm")=I6,"",TEXT(P7,"mmmm"))</f>
        <v>May</v>
      </c>
      <c r="Q6" s="29"/>
      <c r="R6" s="29"/>
      <c r="S6" s="29"/>
      <c r="T6" s="29"/>
      <c r="U6" s="29"/>
      <c r="V6" s="29"/>
      <c r="W6" s="29" t="str">
        <f ca="1">IF(OR(TEXT(W7,"mmmm")=P6,TEXT(W7,"mmmm")=I6),"",TEXT(W7,"mmmm"))</f>
        <v/>
      </c>
      <c r="X6" s="29"/>
      <c r="Y6" s="29"/>
      <c r="Z6" s="29"/>
      <c r="AA6" s="29"/>
      <c r="AB6" s="29"/>
      <c r="AC6" s="29"/>
      <c r="AD6" s="29" t="str">
        <f ca="1">IF(OR(TEXT(AD7,"mmmm")=W6,TEXT(AD7,"mmmm")=P6,TEXT(AD7,"mmmm")=I6),"",TEXT(AD7,"mmmm"))</f>
        <v/>
      </c>
      <c r="AE6" s="29"/>
      <c r="AF6" s="29"/>
      <c r="AG6" s="29"/>
      <c r="AH6" s="29"/>
      <c r="AI6" s="29"/>
      <c r="AJ6" s="29"/>
      <c r="AK6" s="29" t="str">
        <f ca="1">IF(OR(TEXT(AK7,"mmmm")=AD6,TEXT(AK7,"mmmm")=W6,TEXT(AK7,"mmmm")=P6,TEXT(AK7,"mmmm")=I6),"",TEXT(AK7,"mmmm"))</f>
        <v/>
      </c>
      <c r="AL6" s="29"/>
      <c r="AM6" s="29"/>
      <c r="AN6" s="29"/>
      <c r="AO6" s="29"/>
      <c r="AP6" s="29"/>
      <c r="AQ6" s="29"/>
      <c r="AR6" s="29" t="str">
        <f ca="1">IF(OR(TEXT(AR7,"mmmm")=AK6,TEXT(AR7,"mmmm")=AD6,TEXT(AR7,"mmmm")=W6,TEXT(AR7,"mmmm")=P6),"",TEXT(AR7,"mmmm"))</f>
        <v>June</v>
      </c>
      <c r="AS6" s="29"/>
      <c r="AT6" s="29"/>
      <c r="AU6" s="29"/>
      <c r="AV6" s="29"/>
      <c r="AW6" s="29"/>
      <c r="AX6" s="29"/>
      <c r="AY6" s="29" t="str">
        <f ca="1">IF(OR(TEXT(AY7,"mmmm")=AR6,TEXT(AY7,"mmmm")=AK6,TEXT(AY7,"mmmm")=AD6,TEXT(AY7,"mmmm")=W6),"",TEXT(AY7,"mmmm"))</f>
        <v/>
      </c>
      <c r="AZ6" s="29"/>
      <c r="BA6" s="29"/>
      <c r="BB6" s="30"/>
      <c r="BC6" s="31"/>
      <c r="BD6" s="31"/>
      <c r="BE6" s="31"/>
      <c r="BF6" s="31" t="str">
        <f ca="1">IF(OR(TEXT(BF7,"mmmm")=AY6,TEXT(BF7,"mmmm")=AR6,TEXT(BF7,"mmmm")=AK6,TEXT(BF7,"mmmm")=AD6),"",TEXT(BF7,"mmmm"))</f>
        <v/>
      </c>
      <c r="BG6" s="31"/>
      <c r="BH6" s="31"/>
      <c r="BI6" s="31"/>
      <c r="BJ6" s="31"/>
      <c r="BK6" s="31"/>
      <c r="BL6" s="31"/>
    </row>
    <row r="7" spans="1:68" ht="30" customHeight="1">
      <c r="A7" s="15"/>
      <c r="B7" s="26" t="s">
        <v>15</v>
      </c>
      <c r="C7" s="32">
        <v>5</v>
      </c>
      <c r="D7" s="23"/>
      <c r="F7" s="4"/>
      <c r="H7" s="33"/>
      <c r="I7" s="34" t="d">
        <f ca="1">IFERROR(_xlfn.SINGLE(Project_Start)+_xlfn.SINGLE(Scrolling_Increment),TODAY())</f>
        <v>2026-04-27</v>
      </c>
      <c r="J7" s="35" t="d">
        <f t="shared" ref="J7:AO7" ca="1" si="0">I7+1</f>
        <v>2026-04-28</v>
      </c>
      <c r="K7" s="35" t="d">
        <f t="shared" ca="1" si="0"/>
        <v>2026-04-29</v>
      </c>
      <c r="L7" s="35" t="d">
        <f t="shared" ca="1" si="0"/>
        <v>2026-04-30</v>
      </c>
      <c r="M7" s="35" t="d">
        <f t="shared" ca="1" si="0"/>
        <v>2026-05-01</v>
      </c>
      <c r="N7" s="35" t="d">
        <f t="shared" ca="1" si="0"/>
        <v>2026-05-02</v>
      </c>
      <c r="O7" s="36" t="d">
        <f t="shared" ca="1" si="0"/>
        <v>2026-05-03</v>
      </c>
      <c r="P7" s="35" t="d">
        <f t="shared" ca="1" si="0"/>
        <v>2026-05-04</v>
      </c>
      <c r="Q7" s="35" t="d">
        <f t="shared" ca="1" si="0"/>
        <v>2026-05-05</v>
      </c>
      <c r="R7" s="35" t="d">
        <f t="shared" ca="1" si="0"/>
        <v>2026-05-06</v>
      </c>
      <c r="S7" s="35" t="d">
        <f t="shared" ca="1" si="0"/>
        <v>2026-05-07</v>
      </c>
      <c r="T7" s="35" t="d">
        <f t="shared" ca="1" si="0"/>
        <v>2026-05-08</v>
      </c>
      <c r="U7" s="35" t="d">
        <f t="shared" ca="1" si="0"/>
        <v>2026-05-09</v>
      </c>
      <c r="V7" s="36" t="d">
        <f t="shared" ca="1" si="0"/>
        <v>2026-05-10</v>
      </c>
      <c r="W7" s="35" t="d">
        <f t="shared" ca="1" si="0"/>
        <v>2026-05-11</v>
      </c>
      <c r="X7" s="35" t="d">
        <f t="shared" ca="1" si="0"/>
        <v>2026-05-12</v>
      </c>
      <c r="Y7" s="35" t="d">
        <f t="shared" ca="1" si="0"/>
        <v>2026-05-13</v>
      </c>
      <c r="Z7" s="35" t="d">
        <f t="shared" ca="1" si="0"/>
        <v>2026-05-14</v>
      </c>
      <c r="AA7" s="35" t="d">
        <f t="shared" ca="1" si="0"/>
        <v>2026-05-15</v>
      </c>
      <c r="AB7" s="35" t="d">
        <f t="shared" ca="1" si="0"/>
        <v>2026-05-16</v>
      </c>
      <c r="AC7" s="36" t="d">
        <f t="shared" ca="1" si="0"/>
        <v>2026-05-17</v>
      </c>
      <c r="AD7" s="35" t="d">
        <f t="shared" ca="1" si="0"/>
        <v>2026-05-18</v>
      </c>
      <c r="AE7" s="35" t="d">
        <f t="shared" ca="1" si="0"/>
        <v>2026-05-19</v>
      </c>
      <c r="AF7" s="35" t="d">
        <f t="shared" ca="1" si="0"/>
        <v>2026-05-20</v>
      </c>
      <c r="AG7" s="35" t="d">
        <f t="shared" ca="1" si="0"/>
        <v>2026-05-21</v>
      </c>
      <c r="AH7" s="35" t="d">
        <f t="shared" ca="1" si="0"/>
        <v>2026-05-22</v>
      </c>
      <c r="AI7" s="35" t="d">
        <f t="shared" ca="1" si="0"/>
        <v>2026-05-23</v>
      </c>
      <c r="AJ7" s="36" t="d">
        <f t="shared" ca="1" si="0"/>
        <v>2026-05-24</v>
      </c>
      <c r="AK7" s="35" t="d">
        <f t="shared" ca="1" si="0"/>
        <v>2026-05-25</v>
      </c>
      <c r="AL7" s="35" t="d">
        <f t="shared" ca="1" si="0"/>
        <v>2026-05-26</v>
      </c>
      <c r="AM7" s="35" t="d">
        <f t="shared" ca="1" si="0"/>
        <v>2026-05-27</v>
      </c>
      <c r="AN7" s="35" t="d">
        <f t="shared" ca="1" si="0"/>
        <v>2026-05-28</v>
      </c>
      <c r="AO7" s="35" t="d">
        <f t="shared" ca="1" si="0"/>
        <v>2026-05-29</v>
      </c>
      <c r="AP7" s="35" t="d">
        <f t="shared" ref="AP7:BL7" ca="1" si="1">AO7+1</f>
        <v>2026-05-30</v>
      </c>
      <c r="AQ7" s="36" t="d">
        <f t="shared" ca="1" si="1"/>
        <v>2026-05-31</v>
      </c>
      <c r="AR7" s="35" t="d">
        <f t="shared" ca="1" si="1"/>
        <v>2026-06-01</v>
      </c>
      <c r="AS7" s="35" t="d">
        <f t="shared" ca="1" si="1"/>
        <v>2026-06-02</v>
      </c>
      <c r="AT7" s="35" t="d">
        <f t="shared" ca="1" si="1"/>
        <v>2026-06-03</v>
      </c>
      <c r="AU7" s="35" t="d">
        <f t="shared" ca="1" si="1"/>
        <v>2026-06-04</v>
      </c>
      <c r="AV7" s="35" t="d">
        <f t="shared" ca="1" si="1"/>
        <v>2026-06-05</v>
      </c>
      <c r="AW7" s="35" t="d">
        <f t="shared" ca="1" si="1"/>
        <v>2026-06-06</v>
      </c>
      <c r="AX7" s="36" t="d">
        <f t="shared" ca="1" si="1"/>
        <v>2026-06-07</v>
      </c>
      <c r="AY7" s="35" t="d">
        <f t="shared" ca="1" si="1"/>
        <v>2026-06-08</v>
      </c>
      <c r="AZ7" s="35" t="d">
        <f t="shared" ca="1" si="1"/>
        <v>2026-06-09</v>
      </c>
      <c r="BA7" s="35" t="d">
        <f t="shared" ca="1" si="1"/>
        <v>2026-06-10</v>
      </c>
      <c r="BB7" s="35" t="d">
        <f t="shared" ca="1" si="1"/>
        <v>2026-06-11</v>
      </c>
      <c r="BC7" s="35" t="d">
        <f t="shared" ca="1" si="1"/>
        <v>2026-06-12</v>
      </c>
      <c r="BD7" s="35" t="d">
        <f t="shared" ca="1" si="1"/>
        <v>2026-06-13</v>
      </c>
      <c r="BE7" s="36" t="d">
        <f t="shared" ca="1" si="1"/>
        <v>2026-06-14</v>
      </c>
      <c r="BF7" s="35" t="d">
        <f t="shared" ca="1" si="1"/>
        <v>2026-06-15</v>
      </c>
      <c r="BG7" s="35" t="d">
        <f t="shared" ca="1" si="1"/>
        <v>2026-06-16</v>
      </c>
      <c r="BH7" s="35" t="d">
        <f t="shared" ca="1" si="1"/>
        <v>2026-06-17</v>
      </c>
      <c r="BI7" s="35" t="d">
        <f t="shared" ca="1" si="1"/>
        <v>2026-06-18</v>
      </c>
      <c r="BJ7" s="35" t="d">
        <f t="shared" ca="1" si="1"/>
        <v>2026-06-19</v>
      </c>
      <c r="BK7" s="35" t="d">
        <f t="shared" ca="1" si="1"/>
        <v>2026-06-20</v>
      </c>
      <c r="BL7" s="36" t="d">
        <f t="shared" ca="1" si="1"/>
        <v>2026-06-21</v>
      </c>
    </row>
    <row r="8" spans="1:68" ht="19.5" customHeight="1">
      <c r="A8" s="15"/>
      <c r="B8" s="23"/>
      <c r="C8" s="23"/>
      <c r="D8" s="23"/>
      <c r="F8" s="4"/>
      <c r="H8" s="33"/>
      <c r="I8" s="37"/>
      <c r="J8" s="38"/>
      <c r="K8" s="38"/>
      <c r="L8" s="38"/>
      <c r="M8" s="38"/>
      <c r="N8" s="38"/>
      <c r="O8" s="38"/>
      <c r="P8" s="39"/>
      <c r="Q8" s="38"/>
      <c r="R8" s="38"/>
      <c r="S8" s="38"/>
      <c r="T8" s="38"/>
      <c r="U8" s="38"/>
      <c r="V8" s="40"/>
      <c r="W8" s="38"/>
      <c r="X8" s="38"/>
      <c r="Y8" s="38"/>
      <c r="Z8" s="38"/>
      <c r="AA8" s="38"/>
      <c r="AB8" s="38"/>
      <c r="AC8" s="40"/>
      <c r="AD8" s="38"/>
      <c r="AE8" s="38"/>
      <c r="AF8" s="38"/>
      <c r="AG8" s="38"/>
      <c r="AH8" s="38"/>
      <c r="AI8" s="38"/>
      <c r="AJ8" s="40"/>
      <c r="AK8" s="38"/>
      <c r="AL8" s="38"/>
      <c r="AM8" s="38"/>
      <c r="AN8" s="38"/>
      <c r="AO8" s="38"/>
      <c r="AP8" s="38"/>
      <c r="AQ8" s="40"/>
      <c r="AR8" s="38"/>
      <c r="AS8" s="38"/>
      <c r="AT8" s="38"/>
      <c r="AU8" s="38"/>
      <c r="AV8" s="38"/>
      <c r="AW8" s="38"/>
      <c r="AX8" s="40"/>
      <c r="AY8" s="38"/>
      <c r="AZ8" s="38"/>
      <c r="BA8" s="38"/>
      <c r="BB8" s="38"/>
      <c r="BC8" s="38"/>
      <c r="BD8" s="38"/>
      <c r="BE8" s="40"/>
      <c r="BF8" s="38"/>
      <c r="BG8" s="38"/>
      <c r="BH8" s="38"/>
      <c r="BI8" s="38"/>
      <c r="BJ8" s="38"/>
      <c r="BK8" s="38"/>
      <c r="BL8" s="41"/>
    </row>
    <row r="9" spans="1:68" ht="39.75" customHeight="1">
      <c r="A9" s="15"/>
      <c r="B9" s="137" t="s">
        <v>16</v>
      </c>
      <c r="C9" s="138" t="s">
        <v>17</v>
      </c>
      <c r="D9" s="138" t="s">
        <v>18</v>
      </c>
      <c r="E9" s="138" t="s">
        <v>19</v>
      </c>
      <c r="F9" s="138" t="s">
        <v>20</v>
      </c>
      <c r="G9" s="138" t="s">
        <v>21</v>
      </c>
      <c r="H9" s="44"/>
      <c r="I9" s="45" t="str">
        <f t="shared" ref="I9:AN9" ca="1" si="2">LEFT(TEXT(I7,"ddd"),1)</f>
        <v>M</v>
      </c>
      <c r="J9" s="45" t="str">
        <f t="shared" ca="1" si="2"/>
        <v>T</v>
      </c>
      <c r="K9" s="45" t="str">
        <f t="shared" ca="1" si="2"/>
        <v>W</v>
      </c>
      <c r="L9" s="45" t="str">
        <f t="shared" ca="1" si="2"/>
        <v>T</v>
      </c>
      <c r="M9" s="45" t="str">
        <f t="shared" ca="1" si="2"/>
        <v>F</v>
      </c>
      <c r="N9" s="45" t="str">
        <f t="shared" ca="1" si="2"/>
        <v>S</v>
      </c>
      <c r="O9" s="45" t="str">
        <f t="shared" ca="1" si="2"/>
        <v>S</v>
      </c>
      <c r="P9" s="45" t="str">
        <f t="shared" ca="1" si="2"/>
        <v>M</v>
      </c>
      <c r="Q9" s="45" t="str">
        <f t="shared" ca="1" si="2"/>
        <v>T</v>
      </c>
      <c r="R9" s="45" t="str">
        <f t="shared" ca="1" si="2"/>
        <v>W</v>
      </c>
      <c r="S9" s="45" t="str">
        <f t="shared" ca="1" si="2"/>
        <v>T</v>
      </c>
      <c r="T9" s="45" t="str">
        <f t="shared" ca="1" si="2"/>
        <v>F</v>
      </c>
      <c r="U9" s="45" t="str">
        <f t="shared" ca="1" si="2"/>
        <v>S</v>
      </c>
      <c r="V9" s="45" t="str">
        <f t="shared" ca="1" si="2"/>
        <v>S</v>
      </c>
      <c r="W9" s="45" t="str">
        <f t="shared" ca="1" si="2"/>
        <v>M</v>
      </c>
      <c r="X9" s="45" t="str">
        <f t="shared" ca="1" si="2"/>
        <v>T</v>
      </c>
      <c r="Y9" s="45" t="str">
        <f t="shared" ca="1" si="2"/>
        <v>W</v>
      </c>
      <c r="Z9" s="45" t="str">
        <f t="shared" ca="1" si="2"/>
        <v>T</v>
      </c>
      <c r="AA9" s="45" t="str">
        <f t="shared" ca="1" si="2"/>
        <v>F</v>
      </c>
      <c r="AB9" s="45" t="str">
        <f t="shared" ca="1" si="2"/>
        <v>S</v>
      </c>
      <c r="AC9" s="45" t="str">
        <f t="shared" ca="1" si="2"/>
        <v>S</v>
      </c>
      <c r="AD9" s="45" t="str">
        <f t="shared" ca="1" si="2"/>
        <v>M</v>
      </c>
      <c r="AE9" s="45" t="str">
        <f t="shared" ca="1" si="2"/>
        <v>T</v>
      </c>
      <c r="AF9" s="45" t="str">
        <f t="shared" ca="1" si="2"/>
        <v>W</v>
      </c>
      <c r="AG9" s="45" t="str">
        <f t="shared" ca="1" si="2"/>
        <v>T</v>
      </c>
      <c r="AH9" s="45" t="str">
        <f t="shared" ca="1" si="2"/>
        <v>F</v>
      </c>
      <c r="AI9" s="45" t="str">
        <f t="shared" ca="1" si="2"/>
        <v>S</v>
      </c>
      <c r="AJ9" s="45" t="str">
        <f t="shared" ca="1" si="2"/>
        <v>S</v>
      </c>
      <c r="AK9" s="45" t="str">
        <f t="shared" ca="1" si="2"/>
        <v>M</v>
      </c>
      <c r="AL9" s="45" t="str">
        <f t="shared" ca="1" si="2"/>
        <v>T</v>
      </c>
      <c r="AM9" s="45" t="str">
        <f t="shared" ca="1" si="2"/>
        <v>W</v>
      </c>
      <c r="AN9" s="45" t="str">
        <f t="shared" ca="1" si="2"/>
        <v>T</v>
      </c>
      <c r="AO9" s="45" t="str">
        <f t="shared" ref="AO9:BL9" ca="1" si="3">LEFT(TEXT(AO7,"ddd"),1)</f>
        <v>F</v>
      </c>
      <c r="AP9" s="45" t="str">
        <f t="shared" ca="1" si="3"/>
        <v>S</v>
      </c>
      <c r="AQ9" s="45" t="str">
        <f t="shared" ca="1" si="3"/>
        <v>S</v>
      </c>
      <c r="AR9" s="45" t="str">
        <f t="shared" ca="1" si="3"/>
        <v>M</v>
      </c>
      <c r="AS9" s="45" t="str">
        <f t="shared" ca="1" si="3"/>
        <v>T</v>
      </c>
      <c r="AT9" s="45" t="str">
        <f t="shared" ca="1" si="3"/>
        <v>W</v>
      </c>
      <c r="AU9" s="45" t="str">
        <f t="shared" ca="1" si="3"/>
        <v>T</v>
      </c>
      <c r="AV9" s="45" t="str">
        <f t="shared" ca="1" si="3"/>
        <v>F</v>
      </c>
      <c r="AW9" s="45" t="str">
        <f t="shared" ca="1" si="3"/>
        <v>S</v>
      </c>
      <c r="AX9" s="45" t="str">
        <f t="shared" ca="1" si="3"/>
        <v>S</v>
      </c>
      <c r="AY9" s="45" t="str">
        <f t="shared" ca="1" si="3"/>
        <v>M</v>
      </c>
      <c r="AZ9" s="45" t="str">
        <f t="shared" ca="1" si="3"/>
        <v>T</v>
      </c>
      <c r="BA9" s="45" t="str">
        <f t="shared" ca="1" si="3"/>
        <v>W</v>
      </c>
      <c r="BB9" s="45" t="str">
        <f t="shared" ca="1" si="3"/>
        <v>T</v>
      </c>
      <c r="BC9" s="45" t="str">
        <f t="shared" ca="1" si="3"/>
        <v>F</v>
      </c>
      <c r="BD9" s="45" t="str">
        <f t="shared" ca="1" si="3"/>
        <v>S</v>
      </c>
      <c r="BE9" s="45" t="str">
        <f t="shared" ca="1" si="3"/>
        <v>S</v>
      </c>
      <c r="BF9" s="45" t="str">
        <f t="shared" ca="1" si="3"/>
        <v>M</v>
      </c>
      <c r="BG9" s="45" t="str">
        <f t="shared" ca="1" si="3"/>
        <v>T</v>
      </c>
      <c r="BH9" s="45" t="str">
        <f t="shared" ca="1" si="3"/>
        <v>W</v>
      </c>
      <c r="BI9" s="45" t="str">
        <f t="shared" ca="1" si="3"/>
        <v>T</v>
      </c>
      <c r="BJ9" s="45" t="str">
        <f t="shared" ca="1" si="3"/>
        <v>F</v>
      </c>
      <c r="BK9" s="45" t="str">
        <f t="shared" ca="1" si="3"/>
        <v>S</v>
      </c>
      <c r="BL9" s="45" t="str">
        <f t="shared" ca="1" si="3"/>
        <v>S</v>
      </c>
    </row>
    <row r="10" spans="1:68" ht="30" hidden="1" customHeight="1">
      <c r="B10" s="46"/>
      <c r="C10" s="47"/>
      <c r="D10" s="48"/>
      <c r="E10" s="47"/>
      <c r="F10" s="49"/>
      <c r="G10" s="50"/>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8" s="18" customFormat="1" ht="39.75" customHeight="1">
      <c r="A11" s="15"/>
      <c r="B11" s="139" t="s">
        <v>53</v>
      </c>
      <c r="C11" s="53"/>
      <c r="D11" s="53"/>
      <c r="E11" s="54"/>
      <c r="F11" s="49"/>
      <c r="G11" s="50"/>
      <c r="H11" s="53"/>
      <c r="I11" s="55" t="str">
        <f t="shared" ref="I11:R20" ca="1" si="4">IF(AND($C11="Goal",I$7&gt;=$F11,I$7&lt;=$F11+$G11-1),2,IF(AND($C11="Milestone",I$7&gt;=$F11,I$7&lt;=$F11+$G11-1),1,""))</f>
        <v/>
      </c>
      <c r="J11" s="55" t="str">
        <f t="shared" ca="1" si="4"/>
        <v/>
      </c>
      <c r="K11" s="55" t="str">
        <f t="shared" ca="1" si="4"/>
        <v/>
      </c>
      <c r="L11" s="55" t="str">
        <f t="shared" ca="1" si="4"/>
        <v/>
      </c>
      <c r="M11" s="55" t="str">
        <f t="shared" ca="1" si="4"/>
        <v/>
      </c>
      <c r="N11" s="55" t="str">
        <f t="shared" ca="1" si="4"/>
        <v/>
      </c>
      <c r="O11" s="55" t="str">
        <f t="shared" ca="1" si="4"/>
        <v/>
      </c>
      <c r="P11" s="55" t="str">
        <f t="shared" ca="1" si="4"/>
        <v/>
      </c>
      <c r="Q11" s="55" t="str">
        <f t="shared" ca="1" si="4"/>
        <v/>
      </c>
      <c r="R11" s="55" t="str">
        <f t="shared" ca="1" si="4"/>
        <v/>
      </c>
      <c r="S11" s="55" t="str">
        <f t="shared" ref="S11:AB20" ca="1" si="5">IF(AND($C11="Goal",S$7&gt;=$F11,S$7&lt;=$F11+$G11-1),2,IF(AND($C11="Milestone",S$7&gt;=$F11,S$7&lt;=$F11+$G11-1),1,""))</f>
        <v/>
      </c>
      <c r="T11" s="55" t="str">
        <f t="shared" ca="1" si="5"/>
        <v/>
      </c>
      <c r="U11" s="55" t="str">
        <f t="shared" ca="1" si="5"/>
        <v/>
      </c>
      <c r="V11" s="55" t="str">
        <f t="shared" ca="1" si="5"/>
        <v/>
      </c>
      <c r="W11" s="55" t="str">
        <f t="shared" ca="1" si="5"/>
        <v/>
      </c>
      <c r="X11" s="55" t="str">
        <f t="shared" ca="1" si="5"/>
        <v/>
      </c>
      <c r="Y11" s="55" t="str">
        <f t="shared" ca="1" si="5"/>
        <v/>
      </c>
      <c r="Z11" s="55" t="str">
        <f t="shared" ca="1" si="5"/>
        <v/>
      </c>
      <c r="AA11" s="55" t="str">
        <f t="shared" ca="1" si="5"/>
        <v/>
      </c>
      <c r="AB11" s="55" t="str">
        <f t="shared" ca="1" si="5"/>
        <v/>
      </c>
      <c r="AC11" s="55" t="str">
        <f t="shared" ref="AC11:AL20" ca="1" si="6">IF(AND($C11="Goal",AC$7&gt;=$F11,AC$7&lt;=$F11+$G11-1),2,IF(AND($C11="Milestone",AC$7&gt;=$F11,AC$7&lt;=$F11+$G11-1),1,""))</f>
        <v/>
      </c>
      <c r="AD11" s="55" t="str">
        <f t="shared" ca="1" si="6"/>
        <v/>
      </c>
      <c r="AE11" s="55" t="str">
        <f t="shared" ca="1" si="6"/>
        <v/>
      </c>
      <c r="AF11" s="55" t="str">
        <f t="shared" ca="1" si="6"/>
        <v/>
      </c>
      <c r="AG11" s="55" t="str">
        <f t="shared" ca="1" si="6"/>
        <v/>
      </c>
      <c r="AH11" s="55" t="str">
        <f t="shared" ca="1" si="6"/>
        <v/>
      </c>
      <c r="AI11" s="55" t="str">
        <f t="shared" ca="1" si="6"/>
        <v/>
      </c>
      <c r="AJ11" s="55" t="str">
        <f t="shared" ca="1" si="6"/>
        <v/>
      </c>
      <c r="AK11" s="55" t="str">
        <f t="shared" ca="1" si="6"/>
        <v/>
      </c>
      <c r="AL11" s="55" t="str">
        <f t="shared" ca="1" si="6"/>
        <v/>
      </c>
      <c r="AM11" s="55" t="str">
        <f t="shared" ref="AM11:AV20" ca="1" si="7">IF(AND($C11="Goal",AM$7&gt;=$F11,AM$7&lt;=$F11+$G11-1),2,IF(AND($C11="Milestone",AM$7&gt;=$F11,AM$7&lt;=$F11+$G11-1),1,""))</f>
        <v/>
      </c>
      <c r="AN11" s="55" t="str">
        <f t="shared" ca="1" si="7"/>
        <v/>
      </c>
      <c r="AO11" s="55" t="str">
        <f t="shared" ca="1" si="7"/>
        <v/>
      </c>
      <c r="AP11" s="55" t="str">
        <f t="shared" ca="1" si="7"/>
        <v/>
      </c>
      <c r="AQ11" s="55" t="str">
        <f t="shared" ca="1" si="7"/>
        <v/>
      </c>
      <c r="AR11" s="55" t="str">
        <f t="shared" ca="1" si="7"/>
        <v/>
      </c>
      <c r="AS11" s="55" t="str">
        <f t="shared" ca="1" si="7"/>
        <v/>
      </c>
      <c r="AT11" s="55" t="str">
        <f t="shared" ca="1" si="7"/>
        <v/>
      </c>
      <c r="AU11" s="55" t="str">
        <f t="shared" ca="1" si="7"/>
        <v/>
      </c>
      <c r="AV11" s="55" t="str">
        <f t="shared" ca="1" si="7"/>
        <v/>
      </c>
      <c r="AW11" s="55" t="str">
        <f t="shared" ref="AW11:BF20" ca="1" si="8">IF(AND($C11="Goal",AW$7&gt;=$F11,AW$7&lt;=$F11+$G11-1),2,IF(AND($C11="Milestone",AW$7&gt;=$F11,AW$7&lt;=$F11+$G11-1),1,""))</f>
        <v/>
      </c>
      <c r="AX11" s="55" t="str">
        <f t="shared" ca="1" si="8"/>
        <v/>
      </c>
      <c r="AY11" s="55" t="str">
        <f t="shared" ca="1" si="8"/>
        <v/>
      </c>
      <c r="AZ11" s="55" t="str">
        <f t="shared" ca="1" si="8"/>
        <v/>
      </c>
      <c r="BA11" s="55" t="str">
        <f t="shared" ca="1" si="8"/>
        <v/>
      </c>
      <c r="BB11" s="55" t="str">
        <f t="shared" ca="1" si="8"/>
        <v/>
      </c>
      <c r="BC11" s="55" t="str">
        <f t="shared" ca="1" si="8"/>
        <v/>
      </c>
      <c r="BD11" s="55" t="str">
        <f t="shared" ca="1" si="8"/>
        <v/>
      </c>
      <c r="BE11" s="55" t="str">
        <f t="shared" ca="1" si="8"/>
        <v/>
      </c>
      <c r="BF11" s="55" t="str">
        <f t="shared" ca="1" si="8"/>
        <v/>
      </c>
      <c r="BG11" s="55" t="str">
        <f t="shared" ref="BG11:BL20" ca="1" si="9">IF(AND($C11="Goal",BG$7&gt;=$F11,BG$7&lt;=$F11+$G11-1),2,IF(AND($C11="Milestone",BG$7&gt;=$F11,BG$7&lt;=$F11+$G11-1),1,""))</f>
        <v/>
      </c>
      <c r="BH11" s="55" t="str">
        <f t="shared" ca="1" si="9"/>
        <v/>
      </c>
      <c r="BI11" s="55" t="str">
        <f t="shared" ca="1" si="9"/>
        <v/>
      </c>
      <c r="BJ11" s="55" t="str">
        <f t="shared" ca="1" si="9"/>
        <v/>
      </c>
      <c r="BK11" s="55" t="str">
        <f t="shared" ca="1" si="9"/>
        <v/>
      </c>
      <c r="BL11" s="55" t="str">
        <f t="shared" ca="1" si="9"/>
        <v/>
      </c>
      <c r="BP11" s="56"/>
    </row>
    <row r="12" spans="1:68" s="18" customFormat="1" ht="39.75" customHeight="1">
      <c r="A12" s="15"/>
      <c r="B12" s="70" t="s">
        <v>54</v>
      </c>
      <c r="C12" s="53" t="s">
        <v>55</v>
      </c>
      <c r="D12" s="53" t="s">
        <v>56</v>
      </c>
      <c r="E12" s="54">
        <v>0.25</v>
      </c>
      <c r="F12" s="49" t="d">
        <f ca="1">TODAY()</f>
        <v>2026-04-29</v>
      </c>
      <c r="G12" s="50">
        <v>3</v>
      </c>
      <c r="H12" s="53"/>
      <c r="I12" s="55" t="str">
        <f t="shared" ca="1" si="4"/>
        <v/>
      </c>
      <c r="J12" s="55" t="str">
        <f t="shared" ca="1" si="4"/>
        <v/>
      </c>
      <c r="K12" s="55">
        <f t="shared" ca="1" si="4"/>
        <v>2</v>
      </c>
      <c r="L12" s="55">
        <f t="shared" ca="1" si="4"/>
        <v>2</v>
      </c>
      <c r="M12" s="55">
        <f t="shared" ca="1" si="4"/>
        <v>2</v>
      </c>
      <c r="N12" s="55" t="str">
        <f t="shared" ca="1" si="4"/>
        <v/>
      </c>
      <c r="O12" s="55" t="str">
        <f t="shared" ca="1" si="4"/>
        <v/>
      </c>
      <c r="P12" s="55" t="str">
        <f t="shared" ca="1" si="4"/>
        <v/>
      </c>
      <c r="Q12" s="55" t="str">
        <f t="shared" ca="1" si="4"/>
        <v/>
      </c>
      <c r="R12" s="55" t="str">
        <f t="shared" ca="1" si="4"/>
        <v/>
      </c>
      <c r="S12" s="55" t="str">
        <f t="shared" ca="1" si="5"/>
        <v/>
      </c>
      <c r="T12" s="55" t="str">
        <f t="shared" ca="1" si="5"/>
        <v/>
      </c>
      <c r="U12" s="55" t="str">
        <f t="shared" ca="1" si="5"/>
        <v/>
      </c>
      <c r="V12" s="55" t="str">
        <f t="shared" ca="1" si="5"/>
        <v/>
      </c>
      <c r="W12" s="55" t="str">
        <f t="shared" ca="1" si="5"/>
        <v/>
      </c>
      <c r="X12" s="55" t="str">
        <f t="shared" ca="1" si="5"/>
        <v/>
      </c>
      <c r="Y12" s="55" t="str">
        <f t="shared" ca="1" si="5"/>
        <v/>
      </c>
      <c r="Z12" s="55" t="str">
        <f t="shared" ca="1" si="5"/>
        <v/>
      </c>
      <c r="AA12" s="55" t="str">
        <f t="shared" ca="1" si="5"/>
        <v/>
      </c>
      <c r="AB12" s="55" t="str">
        <f t="shared" ca="1" si="5"/>
        <v/>
      </c>
      <c r="AC12" s="55" t="str">
        <f t="shared" ca="1" si="6"/>
        <v/>
      </c>
      <c r="AD12" s="55" t="str">
        <f t="shared" ca="1" si="6"/>
        <v/>
      </c>
      <c r="AE12" s="55" t="str">
        <f t="shared" ca="1" si="6"/>
        <v/>
      </c>
      <c r="AF12" s="55" t="str">
        <f t="shared" ca="1" si="6"/>
        <v/>
      </c>
      <c r="AG12" s="55" t="str">
        <f t="shared" ca="1" si="6"/>
        <v/>
      </c>
      <c r="AH12" s="55" t="str">
        <f t="shared" ca="1" si="6"/>
        <v/>
      </c>
      <c r="AI12" s="55" t="str">
        <f t="shared" ca="1" si="6"/>
        <v/>
      </c>
      <c r="AJ12" s="55" t="str">
        <f t="shared" ca="1" si="6"/>
        <v/>
      </c>
      <c r="AK12" s="55" t="str">
        <f t="shared" ca="1" si="6"/>
        <v/>
      </c>
      <c r="AL12" s="55" t="str">
        <f t="shared" ca="1" si="6"/>
        <v/>
      </c>
      <c r="AM12" s="55" t="str">
        <f t="shared" ca="1" si="7"/>
        <v/>
      </c>
      <c r="AN12" s="55" t="str">
        <f t="shared" ca="1" si="7"/>
        <v/>
      </c>
      <c r="AO12" s="55" t="str">
        <f t="shared" ca="1" si="7"/>
        <v/>
      </c>
      <c r="AP12" s="55" t="str">
        <f t="shared" ca="1" si="7"/>
        <v/>
      </c>
      <c r="AQ12" s="55" t="str">
        <f t="shared" ca="1" si="7"/>
        <v/>
      </c>
      <c r="AR12" s="55" t="str">
        <f t="shared" ca="1" si="7"/>
        <v/>
      </c>
      <c r="AS12" s="55" t="str">
        <f t="shared" ca="1" si="7"/>
        <v/>
      </c>
      <c r="AT12" s="55" t="str">
        <f t="shared" ca="1" si="7"/>
        <v/>
      </c>
      <c r="AU12" s="55" t="str">
        <f t="shared" ca="1" si="7"/>
        <v/>
      </c>
      <c r="AV12" s="55" t="str">
        <f t="shared" ca="1" si="7"/>
        <v/>
      </c>
      <c r="AW12" s="55" t="str">
        <f t="shared" ca="1" si="8"/>
        <v/>
      </c>
      <c r="AX12" s="55" t="str">
        <f t="shared" ca="1" si="8"/>
        <v/>
      </c>
      <c r="AY12" s="55" t="str">
        <f t="shared" ca="1" si="8"/>
        <v/>
      </c>
      <c r="AZ12" s="55" t="str">
        <f t="shared" ca="1" si="8"/>
        <v/>
      </c>
      <c r="BA12" s="55" t="str">
        <f t="shared" ca="1" si="8"/>
        <v/>
      </c>
      <c r="BB12" s="55" t="str">
        <f t="shared" ca="1" si="8"/>
        <v/>
      </c>
      <c r="BC12" s="55" t="str">
        <f t="shared" ca="1" si="8"/>
        <v/>
      </c>
      <c r="BD12" s="55" t="str">
        <f t="shared" ca="1" si="8"/>
        <v/>
      </c>
      <c r="BE12" s="55" t="str">
        <f t="shared" ca="1" si="8"/>
        <v/>
      </c>
      <c r="BF12" s="55" t="str">
        <f t="shared" ca="1" si="8"/>
        <v/>
      </c>
      <c r="BG12" s="55" t="str">
        <f t="shared" ca="1" si="9"/>
        <v/>
      </c>
      <c r="BH12" s="55" t="str">
        <f t="shared" ca="1" si="9"/>
        <v/>
      </c>
      <c r="BI12" s="55" t="str">
        <f t="shared" ca="1" si="9"/>
        <v/>
      </c>
      <c r="BJ12" s="55" t="str">
        <f t="shared" ca="1" si="9"/>
        <v/>
      </c>
      <c r="BK12" s="55" t="str">
        <f t="shared" ca="1" si="9"/>
        <v/>
      </c>
      <c r="BL12" s="55" t="str">
        <f t="shared" ca="1" si="9"/>
        <v/>
      </c>
    </row>
    <row r="13" spans="1:68" s="18" customFormat="1" ht="39.75" customHeight="1">
      <c r="A13" s="15"/>
      <c r="B13" s="70" t="s">
        <v>57</v>
      </c>
      <c r="C13" s="53" t="s">
        <v>46</v>
      </c>
      <c r="D13" s="53"/>
      <c r="E13" s="54"/>
      <c r="F13" s="49" t="d">
        <f ca="1">TODAY()+5</f>
        <v>2026-05-04</v>
      </c>
      <c r="G13" s="50">
        <v>1</v>
      </c>
      <c r="H13" s="53"/>
      <c r="I13" s="55" t="str">
        <f t="shared" ca="1" si="4"/>
        <v/>
      </c>
      <c r="J13" s="55" t="str">
        <f t="shared" ca="1" si="4"/>
        <v/>
      </c>
      <c r="K13" s="55" t="str">
        <f t="shared" ca="1" si="4"/>
        <v/>
      </c>
      <c r="L13" s="55" t="str">
        <f t="shared" ca="1" si="4"/>
        <v/>
      </c>
      <c r="M13" s="55" t="str">
        <f t="shared" ca="1" si="4"/>
        <v/>
      </c>
      <c r="N13" s="55" t="str">
        <f t="shared" ca="1" si="4"/>
        <v/>
      </c>
      <c r="O13" s="55" t="str">
        <f t="shared" ca="1" si="4"/>
        <v/>
      </c>
      <c r="P13" s="55">
        <f t="shared" ca="1" si="4"/>
        <v>1</v>
      </c>
      <c r="Q13" s="55" t="str">
        <f t="shared" ca="1" si="4"/>
        <v/>
      </c>
      <c r="R13" s="55" t="str">
        <f t="shared" ca="1" si="4"/>
        <v/>
      </c>
      <c r="S13" s="55" t="str">
        <f t="shared" ca="1" si="5"/>
        <v/>
      </c>
      <c r="T13" s="55" t="str">
        <f t="shared" ca="1" si="5"/>
        <v/>
      </c>
      <c r="U13" s="55" t="str">
        <f t="shared" ca="1" si="5"/>
        <v/>
      </c>
      <c r="V13" s="55" t="str">
        <f t="shared" ca="1" si="5"/>
        <v/>
      </c>
      <c r="W13" s="55" t="str">
        <f t="shared" ca="1" si="5"/>
        <v/>
      </c>
      <c r="X13" s="55" t="str">
        <f t="shared" ca="1" si="5"/>
        <v/>
      </c>
      <c r="Y13" s="55" t="str">
        <f t="shared" ca="1" si="5"/>
        <v/>
      </c>
      <c r="Z13" s="55" t="str">
        <f t="shared" ca="1" si="5"/>
        <v/>
      </c>
      <c r="AA13" s="55" t="str">
        <f t="shared" ca="1" si="5"/>
        <v/>
      </c>
      <c r="AB13" s="55" t="str">
        <f t="shared" ca="1" si="5"/>
        <v/>
      </c>
      <c r="AC13" s="55" t="str">
        <f t="shared" ca="1" si="6"/>
        <v/>
      </c>
      <c r="AD13" s="55" t="str">
        <f t="shared" ca="1" si="6"/>
        <v/>
      </c>
      <c r="AE13" s="55" t="str">
        <f t="shared" ca="1" si="6"/>
        <v/>
      </c>
      <c r="AF13" s="55" t="str">
        <f t="shared" ca="1" si="6"/>
        <v/>
      </c>
      <c r="AG13" s="55" t="str">
        <f t="shared" ca="1" si="6"/>
        <v/>
      </c>
      <c r="AH13" s="55" t="str">
        <f t="shared" ca="1" si="6"/>
        <v/>
      </c>
      <c r="AI13" s="55" t="str">
        <f t="shared" ca="1" si="6"/>
        <v/>
      </c>
      <c r="AJ13" s="55" t="str">
        <f t="shared" ca="1" si="6"/>
        <v/>
      </c>
      <c r="AK13" s="55" t="str">
        <f t="shared" ca="1" si="6"/>
        <v/>
      </c>
      <c r="AL13" s="55" t="str">
        <f t="shared" ca="1" si="6"/>
        <v/>
      </c>
      <c r="AM13" s="55" t="str">
        <f t="shared" ca="1" si="7"/>
        <v/>
      </c>
      <c r="AN13" s="55" t="str">
        <f t="shared" ca="1" si="7"/>
        <v/>
      </c>
      <c r="AO13" s="55" t="str">
        <f t="shared" ca="1" si="7"/>
        <v/>
      </c>
      <c r="AP13" s="55" t="str">
        <f t="shared" ca="1" si="7"/>
        <v/>
      </c>
      <c r="AQ13" s="55" t="str">
        <f t="shared" ca="1" si="7"/>
        <v/>
      </c>
      <c r="AR13" s="55" t="str">
        <f t="shared" ca="1" si="7"/>
        <v/>
      </c>
      <c r="AS13" s="55" t="str">
        <f t="shared" ca="1" si="7"/>
        <v/>
      </c>
      <c r="AT13" s="55" t="str">
        <f t="shared" ca="1" si="7"/>
        <v/>
      </c>
      <c r="AU13" s="55" t="str">
        <f t="shared" ca="1" si="7"/>
        <v/>
      </c>
      <c r="AV13" s="55" t="str">
        <f t="shared" ca="1" si="7"/>
        <v/>
      </c>
      <c r="AW13" s="55" t="str">
        <f t="shared" ca="1" si="8"/>
        <v/>
      </c>
      <c r="AX13" s="55" t="str">
        <f t="shared" ca="1" si="8"/>
        <v/>
      </c>
      <c r="AY13" s="55" t="str">
        <f t="shared" ca="1" si="8"/>
        <v/>
      </c>
      <c r="AZ13" s="55" t="str">
        <f t="shared" ca="1" si="8"/>
        <v/>
      </c>
      <c r="BA13" s="55" t="str">
        <f t="shared" ca="1" si="8"/>
        <v/>
      </c>
      <c r="BB13" s="55" t="str">
        <f t="shared" ca="1" si="8"/>
        <v/>
      </c>
      <c r="BC13" s="55" t="str">
        <f t="shared" ca="1" si="8"/>
        <v/>
      </c>
      <c r="BD13" s="55" t="str">
        <f t="shared" ca="1" si="8"/>
        <v/>
      </c>
      <c r="BE13" s="55" t="str">
        <f t="shared" ca="1" si="8"/>
        <v/>
      </c>
      <c r="BF13" s="55" t="str">
        <f t="shared" ca="1" si="8"/>
        <v/>
      </c>
      <c r="BG13" s="55" t="str">
        <f t="shared" ca="1" si="9"/>
        <v/>
      </c>
      <c r="BH13" s="55" t="str">
        <f t="shared" ca="1" si="9"/>
        <v/>
      </c>
      <c r="BI13" s="55" t="str">
        <f t="shared" ca="1" si="9"/>
        <v/>
      </c>
      <c r="BJ13" s="55" t="str">
        <f t="shared" ca="1" si="9"/>
        <v/>
      </c>
      <c r="BK13" s="55" t="str">
        <f t="shared" ca="1" si="9"/>
        <v/>
      </c>
      <c r="BL13" s="55" t="str">
        <f t="shared" ca="1" si="9"/>
        <v/>
      </c>
    </row>
    <row r="14" spans="1:68" s="18" customFormat="1" ht="39.75" customHeight="1">
      <c r="A14" s="13"/>
      <c r="B14" s="70" t="s">
        <v>58</v>
      </c>
      <c r="C14" s="53" t="s">
        <v>33</v>
      </c>
      <c r="D14" s="53"/>
      <c r="E14" s="54">
        <v>0.5</v>
      </c>
      <c r="F14" s="49" t="d">
        <f ca="1">F12-3</f>
        <v>2026-04-26</v>
      </c>
      <c r="G14" s="50">
        <v>10</v>
      </c>
      <c r="H14" s="53"/>
      <c r="I14" s="55" t="str">
        <f t="shared" ca="1" si="4"/>
        <v/>
      </c>
      <c r="J14" s="55" t="str">
        <f t="shared" ca="1" si="4"/>
        <v/>
      </c>
      <c r="K14" s="55" t="str">
        <f t="shared" ca="1" si="4"/>
        <v/>
      </c>
      <c r="L14" s="55" t="str">
        <f t="shared" ca="1" si="4"/>
        <v/>
      </c>
      <c r="M14" s="55" t="str">
        <f t="shared" ca="1" si="4"/>
        <v/>
      </c>
      <c r="N14" s="55" t="str">
        <f t="shared" ca="1" si="4"/>
        <v/>
      </c>
      <c r="O14" s="55" t="str">
        <f t="shared" ca="1" si="4"/>
        <v/>
      </c>
      <c r="P14" s="55" t="str">
        <f t="shared" ca="1" si="4"/>
        <v/>
      </c>
      <c r="Q14" s="55" t="str">
        <f t="shared" ca="1" si="4"/>
        <v/>
      </c>
      <c r="R14" s="55" t="str">
        <f t="shared" ca="1" si="4"/>
        <v/>
      </c>
      <c r="S14" s="55" t="str">
        <f t="shared" ca="1" si="5"/>
        <v/>
      </c>
      <c r="T14" s="55" t="str">
        <f t="shared" ca="1" si="5"/>
        <v/>
      </c>
      <c r="U14" s="55" t="str">
        <f t="shared" ca="1" si="5"/>
        <v/>
      </c>
      <c r="V14" s="55" t="str">
        <f t="shared" ca="1" si="5"/>
        <v/>
      </c>
      <c r="W14" s="55" t="str">
        <f t="shared" ca="1" si="5"/>
        <v/>
      </c>
      <c r="X14" s="55" t="str">
        <f t="shared" ca="1" si="5"/>
        <v/>
      </c>
      <c r="Y14" s="55" t="str">
        <f t="shared" ca="1" si="5"/>
        <v/>
      </c>
      <c r="Z14" s="55" t="str">
        <f t="shared" ca="1" si="5"/>
        <v/>
      </c>
      <c r="AA14" s="55" t="str">
        <f t="shared" ca="1" si="5"/>
        <v/>
      </c>
      <c r="AB14" s="55" t="str">
        <f t="shared" ca="1" si="5"/>
        <v/>
      </c>
      <c r="AC14" s="55" t="str">
        <f t="shared" ca="1" si="6"/>
        <v/>
      </c>
      <c r="AD14" s="55" t="str">
        <f t="shared" ca="1" si="6"/>
        <v/>
      </c>
      <c r="AE14" s="55" t="str">
        <f t="shared" ca="1" si="6"/>
        <v/>
      </c>
      <c r="AF14" s="55" t="str">
        <f t="shared" ca="1" si="6"/>
        <v/>
      </c>
      <c r="AG14" s="55" t="str">
        <f t="shared" ca="1" si="6"/>
        <v/>
      </c>
      <c r="AH14" s="55" t="str">
        <f t="shared" ca="1" si="6"/>
        <v/>
      </c>
      <c r="AI14" s="55" t="str">
        <f t="shared" ca="1" si="6"/>
        <v/>
      </c>
      <c r="AJ14" s="55" t="str">
        <f t="shared" ca="1" si="6"/>
        <v/>
      </c>
      <c r="AK14" s="55" t="str">
        <f t="shared" ca="1" si="6"/>
        <v/>
      </c>
      <c r="AL14" s="55" t="str">
        <f t="shared" ca="1" si="6"/>
        <v/>
      </c>
      <c r="AM14" s="55" t="str">
        <f t="shared" ca="1" si="7"/>
        <v/>
      </c>
      <c r="AN14" s="55" t="str">
        <f t="shared" ca="1" si="7"/>
        <v/>
      </c>
      <c r="AO14" s="55" t="str">
        <f t="shared" ca="1" si="7"/>
        <v/>
      </c>
      <c r="AP14" s="55" t="str">
        <f t="shared" ca="1" si="7"/>
        <v/>
      </c>
      <c r="AQ14" s="55" t="str">
        <f t="shared" ca="1" si="7"/>
        <v/>
      </c>
      <c r="AR14" s="55" t="str">
        <f t="shared" ca="1" si="7"/>
        <v/>
      </c>
      <c r="AS14" s="55" t="str">
        <f t="shared" ca="1" si="7"/>
        <v/>
      </c>
      <c r="AT14" s="55" t="str">
        <f t="shared" ca="1" si="7"/>
        <v/>
      </c>
      <c r="AU14" s="55" t="str">
        <f t="shared" ca="1" si="7"/>
        <v/>
      </c>
      <c r="AV14" s="55" t="str">
        <f t="shared" ca="1" si="7"/>
        <v/>
      </c>
      <c r="AW14" s="55" t="str">
        <f t="shared" ca="1" si="8"/>
        <v/>
      </c>
      <c r="AX14" s="55" t="str">
        <f t="shared" ca="1" si="8"/>
        <v/>
      </c>
      <c r="AY14" s="55" t="str">
        <f t="shared" ca="1" si="8"/>
        <v/>
      </c>
      <c r="AZ14" s="55" t="str">
        <f t="shared" ca="1" si="8"/>
        <v/>
      </c>
      <c r="BA14" s="55" t="str">
        <f t="shared" ca="1" si="8"/>
        <v/>
      </c>
      <c r="BB14" s="55" t="str">
        <f t="shared" ca="1" si="8"/>
        <v/>
      </c>
      <c r="BC14" s="55" t="str">
        <f t="shared" ca="1" si="8"/>
        <v/>
      </c>
      <c r="BD14" s="55" t="str">
        <f t="shared" ca="1" si="8"/>
        <v/>
      </c>
      <c r="BE14" s="55" t="str">
        <f t="shared" ca="1" si="8"/>
        <v/>
      </c>
      <c r="BF14" s="55" t="str">
        <f t="shared" ca="1" si="8"/>
        <v/>
      </c>
      <c r="BG14" s="55" t="str">
        <f t="shared" ca="1" si="9"/>
        <v/>
      </c>
      <c r="BH14" s="55" t="str">
        <f t="shared" ca="1" si="9"/>
        <v/>
      </c>
      <c r="BI14" s="55" t="str">
        <f t="shared" ca="1" si="9"/>
        <v/>
      </c>
      <c r="BJ14" s="55" t="str">
        <f t="shared" ca="1" si="9"/>
        <v/>
      </c>
      <c r="BK14" s="55" t="str">
        <f t="shared" ca="1" si="9"/>
        <v/>
      </c>
      <c r="BL14" s="55" t="str">
        <f t="shared" ca="1" si="9"/>
        <v/>
      </c>
    </row>
    <row r="15" spans="1:68" s="18" customFormat="1" ht="39.75" customHeight="1">
      <c r="A15" s="13"/>
      <c r="B15" s="70" t="s">
        <v>59</v>
      </c>
      <c r="C15" s="53" t="s">
        <v>46</v>
      </c>
      <c r="D15" s="53"/>
      <c r="E15" s="54"/>
      <c r="F15" s="49" t="d">
        <f ca="1">F12+20</f>
        <v>2026-05-19</v>
      </c>
      <c r="G15" s="50">
        <v>1</v>
      </c>
      <c r="H15" s="53"/>
      <c r="I15" s="55" t="str">
        <f t="shared" ca="1" si="4"/>
        <v/>
      </c>
      <c r="J15" s="55" t="str">
        <f t="shared" ca="1" si="4"/>
        <v/>
      </c>
      <c r="K15" s="55" t="str">
        <f t="shared" ca="1" si="4"/>
        <v/>
      </c>
      <c r="L15" s="55" t="str">
        <f t="shared" ca="1" si="4"/>
        <v/>
      </c>
      <c r="M15" s="55" t="str">
        <f t="shared" ca="1" si="4"/>
        <v/>
      </c>
      <c r="N15" s="55" t="str">
        <f t="shared" ca="1" si="4"/>
        <v/>
      </c>
      <c r="O15" s="55" t="str">
        <f t="shared" ca="1" si="4"/>
        <v/>
      </c>
      <c r="P15" s="55" t="str">
        <f t="shared" ca="1" si="4"/>
        <v/>
      </c>
      <c r="Q15" s="55" t="str">
        <f t="shared" ca="1" si="4"/>
        <v/>
      </c>
      <c r="R15" s="55" t="str">
        <f t="shared" ca="1" si="4"/>
        <v/>
      </c>
      <c r="S15" s="55" t="str">
        <f t="shared" ca="1" si="5"/>
        <v/>
      </c>
      <c r="T15" s="55" t="str">
        <f t="shared" ca="1" si="5"/>
        <v/>
      </c>
      <c r="U15" s="55" t="str">
        <f t="shared" ca="1" si="5"/>
        <v/>
      </c>
      <c r="V15" s="55" t="str">
        <f t="shared" ca="1" si="5"/>
        <v/>
      </c>
      <c r="W15" s="55" t="str">
        <f t="shared" ca="1" si="5"/>
        <v/>
      </c>
      <c r="X15" s="55" t="str">
        <f t="shared" ca="1" si="5"/>
        <v/>
      </c>
      <c r="Y15" s="55" t="str">
        <f t="shared" ca="1" si="5"/>
        <v/>
      </c>
      <c r="Z15" s="55" t="str">
        <f t="shared" ca="1" si="5"/>
        <v/>
      </c>
      <c r="AA15" s="55" t="str">
        <f t="shared" ca="1" si="5"/>
        <v/>
      </c>
      <c r="AB15" s="55" t="str">
        <f t="shared" ca="1" si="5"/>
        <v/>
      </c>
      <c r="AC15" s="55" t="str">
        <f t="shared" ca="1" si="6"/>
        <v/>
      </c>
      <c r="AD15" s="55" t="str">
        <f t="shared" ca="1" si="6"/>
        <v/>
      </c>
      <c r="AE15" s="55">
        <f t="shared" ca="1" si="6"/>
        <v>1</v>
      </c>
      <c r="AF15" s="55" t="str">
        <f t="shared" ca="1" si="6"/>
        <v/>
      </c>
      <c r="AG15" s="55" t="str">
        <f t="shared" ca="1" si="6"/>
        <v/>
      </c>
      <c r="AH15" s="55" t="str">
        <f t="shared" ca="1" si="6"/>
        <v/>
      </c>
      <c r="AI15" s="55" t="str">
        <f t="shared" ca="1" si="6"/>
        <v/>
      </c>
      <c r="AJ15" s="55" t="str">
        <f t="shared" ca="1" si="6"/>
        <v/>
      </c>
      <c r="AK15" s="55" t="str">
        <f t="shared" ca="1" si="6"/>
        <v/>
      </c>
      <c r="AL15" s="55" t="str">
        <f t="shared" ca="1" si="6"/>
        <v/>
      </c>
      <c r="AM15" s="55" t="str">
        <f t="shared" ca="1" si="7"/>
        <v/>
      </c>
      <c r="AN15" s="55" t="str">
        <f t="shared" ca="1" si="7"/>
        <v/>
      </c>
      <c r="AO15" s="55" t="str">
        <f t="shared" ca="1" si="7"/>
        <v/>
      </c>
      <c r="AP15" s="55" t="str">
        <f t="shared" ca="1" si="7"/>
        <v/>
      </c>
      <c r="AQ15" s="55" t="str">
        <f t="shared" ca="1" si="7"/>
        <v/>
      </c>
      <c r="AR15" s="55" t="str">
        <f t="shared" ca="1" si="7"/>
        <v/>
      </c>
      <c r="AS15" s="55" t="str">
        <f t="shared" ca="1" si="7"/>
        <v/>
      </c>
      <c r="AT15" s="55" t="str">
        <f t="shared" ca="1" si="7"/>
        <v/>
      </c>
      <c r="AU15" s="55" t="str">
        <f t="shared" ca="1" si="7"/>
        <v/>
      </c>
      <c r="AV15" s="55" t="str">
        <f t="shared" ca="1" si="7"/>
        <v/>
      </c>
      <c r="AW15" s="55" t="str">
        <f t="shared" ca="1" si="8"/>
        <v/>
      </c>
      <c r="AX15" s="55" t="str">
        <f t="shared" ca="1" si="8"/>
        <v/>
      </c>
      <c r="AY15" s="55" t="str">
        <f t="shared" ca="1" si="8"/>
        <v/>
      </c>
      <c r="AZ15" s="55" t="str">
        <f t="shared" ca="1" si="8"/>
        <v/>
      </c>
      <c r="BA15" s="55" t="str">
        <f t="shared" ca="1" si="8"/>
        <v/>
      </c>
      <c r="BB15" s="55" t="str">
        <f t="shared" ca="1" si="8"/>
        <v/>
      </c>
      <c r="BC15" s="55" t="str">
        <f t="shared" ca="1" si="8"/>
        <v/>
      </c>
      <c r="BD15" s="55" t="str">
        <f t="shared" ca="1" si="8"/>
        <v/>
      </c>
      <c r="BE15" s="55" t="str">
        <f t="shared" ca="1" si="8"/>
        <v/>
      </c>
      <c r="BF15" s="55" t="str">
        <f t="shared" ca="1" si="8"/>
        <v/>
      </c>
      <c r="BG15" s="55" t="str">
        <f t="shared" ca="1" si="9"/>
        <v/>
      </c>
      <c r="BH15" s="55" t="str">
        <f t="shared" ca="1" si="9"/>
        <v/>
      </c>
      <c r="BI15" s="55" t="str">
        <f t="shared" ca="1" si="9"/>
        <v/>
      </c>
      <c r="BJ15" s="55" t="str">
        <f t="shared" ca="1" si="9"/>
        <v/>
      </c>
      <c r="BK15" s="55" t="str">
        <f t="shared" ca="1" si="9"/>
        <v/>
      </c>
      <c r="BL15" s="55" t="str">
        <f t="shared" ca="1" si="9"/>
        <v/>
      </c>
    </row>
    <row r="16" spans="1:68" s="18" customFormat="1" ht="39.75" customHeight="1">
      <c r="A16" s="13"/>
      <c r="B16" s="70" t="s">
        <v>41</v>
      </c>
      <c r="C16" s="53" t="s">
        <v>39</v>
      </c>
      <c r="D16" s="53"/>
      <c r="E16" s="54">
        <v>0.1</v>
      </c>
      <c r="F16" s="49" t="d">
        <f ca="1">F12+6</f>
        <v>2026-05-05</v>
      </c>
      <c r="G16" s="50">
        <v>6</v>
      </c>
      <c r="H16" s="53"/>
      <c r="I16" s="55" t="str">
        <f t="shared" ca="1" si="4"/>
        <v/>
      </c>
      <c r="J16" s="55" t="str">
        <f t="shared" ca="1" si="4"/>
        <v/>
      </c>
      <c r="K16" s="55" t="str">
        <f t="shared" ca="1" si="4"/>
        <v/>
      </c>
      <c r="L16" s="55" t="str">
        <f t="shared" ca="1" si="4"/>
        <v/>
      </c>
      <c r="M16" s="55" t="str">
        <f t="shared" ca="1" si="4"/>
        <v/>
      </c>
      <c r="N16" s="55" t="str">
        <f t="shared" ca="1" si="4"/>
        <v/>
      </c>
      <c r="O16" s="55" t="str">
        <f t="shared" ca="1" si="4"/>
        <v/>
      </c>
      <c r="P16" s="55" t="str">
        <f t="shared" ca="1" si="4"/>
        <v/>
      </c>
      <c r="Q16" s="55" t="str">
        <f t="shared" ca="1" si="4"/>
        <v/>
      </c>
      <c r="R16" s="55" t="str">
        <f t="shared" ca="1" si="4"/>
        <v/>
      </c>
      <c r="S16" s="55" t="str">
        <f t="shared" ca="1" si="5"/>
        <v/>
      </c>
      <c r="T16" s="55" t="str">
        <f t="shared" ca="1" si="5"/>
        <v/>
      </c>
      <c r="U16" s="55" t="str">
        <f t="shared" ca="1" si="5"/>
        <v/>
      </c>
      <c r="V16" s="55" t="str">
        <f t="shared" ca="1" si="5"/>
        <v/>
      </c>
      <c r="W16" s="55" t="str">
        <f t="shared" ca="1" si="5"/>
        <v/>
      </c>
      <c r="X16" s="55" t="str">
        <f t="shared" ca="1" si="5"/>
        <v/>
      </c>
      <c r="Y16" s="55" t="str">
        <f t="shared" ca="1" si="5"/>
        <v/>
      </c>
      <c r="Z16" s="55" t="str">
        <f t="shared" ca="1" si="5"/>
        <v/>
      </c>
      <c r="AA16" s="55" t="str">
        <f t="shared" ca="1" si="5"/>
        <v/>
      </c>
      <c r="AB16" s="55" t="str">
        <f t="shared" ca="1" si="5"/>
        <v/>
      </c>
      <c r="AC16" s="55" t="str">
        <f t="shared" ca="1" si="6"/>
        <v/>
      </c>
      <c r="AD16" s="55" t="str">
        <f t="shared" ca="1" si="6"/>
        <v/>
      </c>
      <c r="AE16" s="55" t="str">
        <f t="shared" ca="1" si="6"/>
        <v/>
      </c>
      <c r="AF16" s="55" t="str">
        <f t="shared" ca="1" si="6"/>
        <v/>
      </c>
      <c r="AG16" s="55" t="str">
        <f t="shared" ca="1" si="6"/>
        <v/>
      </c>
      <c r="AH16" s="55" t="str">
        <f t="shared" ca="1" si="6"/>
        <v/>
      </c>
      <c r="AI16" s="55" t="str">
        <f t="shared" ca="1" si="6"/>
        <v/>
      </c>
      <c r="AJ16" s="55" t="str">
        <f t="shared" ca="1" si="6"/>
        <v/>
      </c>
      <c r="AK16" s="55" t="str">
        <f t="shared" ca="1" si="6"/>
        <v/>
      </c>
      <c r="AL16" s="55" t="str">
        <f t="shared" ca="1" si="6"/>
        <v/>
      </c>
      <c r="AM16" s="55" t="str">
        <f t="shared" ca="1" si="7"/>
        <v/>
      </c>
      <c r="AN16" s="55" t="str">
        <f t="shared" ca="1" si="7"/>
        <v/>
      </c>
      <c r="AO16" s="55" t="str">
        <f t="shared" ca="1" si="7"/>
        <v/>
      </c>
      <c r="AP16" s="55" t="str">
        <f t="shared" ca="1" si="7"/>
        <v/>
      </c>
      <c r="AQ16" s="55" t="str">
        <f t="shared" ca="1" si="7"/>
        <v/>
      </c>
      <c r="AR16" s="55" t="str">
        <f t="shared" ca="1" si="7"/>
        <v/>
      </c>
      <c r="AS16" s="55" t="str">
        <f t="shared" ca="1" si="7"/>
        <v/>
      </c>
      <c r="AT16" s="55" t="str">
        <f t="shared" ca="1" si="7"/>
        <v/>
      </c>
      <c r="AU16" s="55" t="str">
        <f t="shared" ca="1" si="7"/>
        <v/>
      </c>
      <c r="AV16" s="55" t="str">
        <f t="shared" ca="1" si="7"/>
        <v/>
      </c>
      <c r="AW16" s="55" t="str">
        <f t="shared" ca="1" si="8"/>
        <v/>
      </c>
      <c r="AX16" s="55" t="str">
        <f t="shared" ca="1" si="8"/>
        <v/>
      </c>
      <c r="AY16" s="55" t="str">
        <f t="shared" ca="1" si="8"/>
        <v/>
      </c>
      <c r="AZ16" s="55" t="str">
        <f t="shared" ca="1" si="8"/>
        <v/>
      </c>
      <c r="BA16" s="55" t="str">
        <f t="shared" ca="1" si="8"/>
        <v/>
      </c>
      <c r="BB16" s="55" t="str">
        <f t="shared" ca="1" si="8"/>
        <v/>
      </c>
      <c r="BC16" s="55" t="str">
        <f t="shared" ca="1" si="8"/>
        <v/>
      </c>
      <c r="BD16" s="55" t="str">
        <f t="shared" ca="1" si="8"/>
        <v/>
      </c>
      <c r="BE16" s="55" t="str">
        <f t="shared" ca="1" si="8"/>
        <v/>
      </c>
      <c r="BF16" s="55" t="str">
        <f t="shared" ca="1" si="8"/>
        <v/>
      </c>
      <c r="BG16" s="55" t="str">
        <f t="shared" ca="1" si="9"/>
        <v/>
      </c>
      <c r="BH16" s="55" t="str">
        <f t="shared" ca="1" si="9"/>
        <v/>
      </c>
      <c r="BI16" s="55" t="str">
        <f t="shared" ca="1" si="9"/>
        <v/>
      </c>
      <c r="BJ16" s="55" t="str">
        <f t="shared" ca="1" si="9"/>
        <v/>
      </c>
      <c r="BK16" s="55" t="str">
        <f t="shared" ca="1" si="9"/>
        <v/>
      </c>
      <c r="BL16" s="55" t="str">
        <f t="shared" ca="1" si="9"/>
        <v/>
      </c>
    </row>
    <row r="17" spans="1:64" s="18" customFormat="1" ht="39.75" customHeight="1">
      <c r="A17" s="15"/>
      <c r="B17" s="139" t="s">
        <v>60</v>
      </c>
      <c r="C17" s="53"/>
      <c r="D17" s="53"/>
      <c r="E17" s="54"/>
      <c r="F17" s="49"/>
      <c r="G17" s="50"/>
      <c r="H17" s="53"/>
      <c r="I17" s="55" t="str">
        <f t="shared" ca="1" si="4"/>
        <v/>
      </c>
      <c r="J17" s="55" t="str">
        <f t="shared" ca="1" si="4"/>
        <v/>
      </c>
      <c r="K17" s="55" t="str">
        <f t="shared" ca="1" si="4"/>
        <v/>
      </c>
      <c r="L17" s="55" t="str">
        <f t="shared" ca="1" si="4"/>
        <v/>
      </c>
      <c r="M17" s="55" t="str">
        <f t="shared" ca="1" si="4"/>
        <v/>
      </c>
      <c r="N17" s="55" t="str">
        <f t="shared" ca="1" si="4"/>
        <v/>
      </c>
      <c r="O17" s="55" t="str">
        <f t="shared" ca="1" si="4"/>
        <v/>
      </c>
      <c r="P17" s="55" t="str">
        <f t="shared" ca="1" si="4"/>
        <v/>
      </c>
      <c r="Q17" s="55" t="str">
        <f t="shared" ca="1" si="4"/>
        <v/>
      </c>
      <c r="R17" s="55" t="str">
        <f t="shared" ca="1" si="4"/>
        <v/>
      </c>
      <c r="S17" s="55" t="str">
        <f t="shared" ca="1" si="5"/>
        <v/>
      </c>
      <c r="T17" s="55" t="str">
        <f t="shared" ca="1" si="5"/>
        <v/>
      </c>
      <c r="U17" s="55" t="str">
        <f t="shared" ca="1" si="5"/>
        <v/>
      </c>
      <c r="V17" s="55" t="str">
        <f t="shared" ca="1" si="5"/>
        <v/>
      </c>
      <c r="W17" s="55" t="str">
        <f t="shared" ca="1" si="5"/>
        <v/>
      </c>
      <c r="X17" s="55" t="str">
        <f t="shared" ca="1" si="5"/>
        <v/>
      </c>
      <c r="Y17" s="55" t="str">
        <f t="shared" ca="1" si="5"/>
        <v/>
      </c>
      <c r="Z17" s="55" t="str">
        <f t="shared" ca="1" si="5"/>
        <v/>
      </c>
      <c r="AA17" s="55" t="str">
        <f t="shared" ca="1" si="5"/>
        <v/>
      </c>
      <c r="AB17" s="55" t="str">
        <f t="shared" ca="1" si="5"/>
        <v/>
      </c>
      <c r="AC17" s="55" t="str">
        <f t="shared" ca="1" si="6"/>
        <v/>
      </c>
      <c r="AD17" s="55" t="str">
        <f t="shared" ca="1" si="6"/>
        <v/>
      </c>
      <c r="AE17" s="55" t="str">
        <f t="shared" ca="1" si="6"/>
        <v/>
      </c>
      <c r="AF17" s="55" t="str">
        <f t="shared" ca="1" si="6"/>
        <v/>
      </c>
      <c r="AG17" s="55" t="str">
        <f t="shared" ca="1" si="6"/>
        <v/>
      </c>
      <c r="AH17" s="55" t="str">
        <f t="shared" ca="1" si="6"/>
        <v/>
      </c>
      <c r="AI17" s="55" t="str">
        <f t="shared" ca="1" si="6"/>
        <v/>
      </c>
      <c r="AJ17" s="55" t="str">
        <f t="shared" ca="1" si="6"/>
        <v/>
      </c>
      <c r="AK17" s="55" t="str">
        <f t="shared" ca="1" si="6"/>
        <v/>
      </c>
      <c r="AL17" s="55" t="str">
        <f t="shared" ca="1" si="6"/>
        <v/>
      </c>
      <c r="AM17" s="55" t="str">
        <f t="shared" ca="1" si="7"/>
        <v/>
      </c>
      <c r="AN17" s="55" t="str">
        <f t="shared" ca="1" si="7"/>
        <v/>
      </c>
      <c r="AO17" s="55" t="str">
        <f t="shared" ca="1" si="7"/>
        <v/>
      </c>
      <c r="AP17" s="55" t="str">
        <f t="shared" ca="1" si="7"/>
        <v/>
      </c>
      <c r="AQ17" s="55" t="str">
        <f t="shared" ca="1" si="7"/>
        <v/>
      </c>
      <c r="AR17" s="55" t="str">
        <f t="shared" ca="1" si="7"/>
        <v/>
      </c>
      <c r="AS17" s="55" t="str">
        <f t="shared" ca="1" si="7"/>
        <v/>
      </c>
      <c r="AT17" s="55" t="str">
        <f t="shared" ca="1" si="7"/>
        <v/>
      </c>
      <c r="AU17" s="55" t="str">
        <f t="shared" ca="1" si="7"/>
        <v/>
      </c>
      <c r="AV17" s="55" t="str">
        <f t="shared" ca="1" si="7"/>
        <v/>
      </c>
      <c r="AW17" s="55" t="str">
        <f t="shared" ca="1" si="8"/>
        <v/>
      </c>
      <c r="AX17" s="55" t="str">
        <f t="shared" ca="1" si="8"/>
        <v/>
      </c>
      <c r="AY17" s="55" t="str">
        <f t="shared" ca="1" si="8"/>
        <v/>
      </c>
      <c r="AZ17" s="55" t="str">
        <f t="shared" ca="1" si="8"/>
        <v/>
      </c>
      <c r="BA17" s="55" t="str">
        <f t="shared" ca="1" si="8"/>
        <v/>
      </c>
      <c r="BB17" s="55" t="str">
        <f t="shared" ca="1" si="8"/>
        <v/>
      </c>
      <c r="BC17" s="55" t="str">
        <f t="shared" ca="1" si="8"/>
        <v/>
      </c>
      <c r="BD17" s="55" t="str">
        <f t="shared" ca="1" si="8"/>
        <v/>
      </c>
      <c r="BE17" s="55" t="str">
        <f t="shared" ca="1" si="8"/>
        <v/>
      </c>
      <c r="BF17" s="55" t="str">
        <f t="shared" ca="1" si="8"/>
        <v/>
      </c>
      <c r="BG17" s="55" t="str">
        <f t="shared" ca="1" si="9"/>
        <v/>
      </c>
      <c r="BH17" s="55" t="str">
        <f t="shared" ca="1" si="9"/>
        <v/>
      </c>
      <c r="BI17" s="55" t="str">
        <f t="shared" ca="1" si="9"/>
        <v/>
      </c>
      <c r="BJ17" s="55" t="str">
        <f t="shared" ca="1" si="9"/>
        <v/>
      </c>
      <c r="BK17" s="55" t="str">
        <f t="shared" ca="1" si="9"/>
        <v/>
      </c>
      <c r="BL17" s="55" t="str">
        <f t="shared" ca="1" si="9"/>
        <v/>
      </c>
    </row>
    <row r="18" spans="1:64" s="18" customFormat="1" ht="39.75" customHeight="1">
      <c r="A18" s="15"/>
      <c r="B18" s="70" t="s">
        <v>54</v>
      </c>
      <c r="C18" s="53" t="s">
        <v>61</v>
      </c>
      <c r="D18" s="53"/>
      <c r="E18" s="54">
        <v>0.6</v>
      </c>
      <c r="F18" s="49" t="d">
        <f ca="1">F12+6</f>
        <v>2026-05-05</v>
      </c>
      <c r="G18" s="50">
        <v>13</v>
      </c>
      <c r="H18" s="53"/>
      <c r="I18" s="55" t="str">
        <f t="shared" ca="1" si="4"/>
        <v/>
      </c>
      <c r="J18" s="55" t="str">
        <f t="shared" ca="1" si="4"/>
        <v/>
      </c>
      <c r="K18" s="55" t="str">
        <f t="shared" ca="1" si="4"/>
        <v/>
      </c>
      <c r="L18" s="55" t="str">
        <f t="shared" ca="1" si="4"/>
        <v/>
      </c>
      <c r="M18" s="55" t="str">
        <f t="shared" ca="1" si="4"/>
        <v/>
      </c>
      <c r="N18" s="55" t="str">
        <f t="shared" ca="1" si="4"/>
        <v/>
      </c>
      <c r="O18" s="55" t="str">
        <f t="shared" ca="1" si="4"/>
        <v/>
      </c>
      <c r="P18" s="55" t="str">
        <f t="shared" ca="1" si="4"/>
        <v/>
      </c>
      <c r="Q18" s="55" t="str">
        <f t="shared" ca="1" si="4"/>
        <v/>
      </c>
      <c r="R18" s="55" t="str">
        <f t="shared" ca="1" si="4"/>
        <v/>
      </c>
      <c r="S18" s="55" t="str">
        <f t="shared" ca="1" si="5"/>
        <v/>
      </c>
      <c r="T18" s="55" t="str">
        <f t="shared" ca="1" si="5"/>
        <v/>
      </c>
      <c r="U18" s="55" t="str">
        <f t="shared" ca="1" si="5"/>
        <v/>
      </c>
      <c r="V18" s="55" t="str">
        <f t="shared" ca="1" si="5"/>
        <v/>
      </c>
      <c r="W18" s="55" t="str">
        <f t="shared" ca="1" si="5"/>
        <v/>
      </c>
      <c r="X18" s="55" t="str">
        <f t="shared" ca="1" si="5"/>
        <v/>
      </c>
      <c r="Y18" s="55" t="str">
        <f t="shared" ca="1" si="5"/>
        <v/>
      </c>
      <c r="Z18" s="55" t="str">
        <f t="shared" ca="1" si="5"/>
        <v/>
      </c>
      <c r="AA18" s="55" t="str">
        <f t="shared" ca="1" si="5"/>
        <v/>
      </c>
      <c r="AB18" s="55" t="str">
        <f t="shared" ca="1" si="5"/>
        <v/>
      </c>
      <c r="AC18" s="55" t="str">
        <f t="shared" ca="1" si="6"/>
        <v/>
      </c>
      <c r="AD18" s="55" t="str">
        <f t="shared" ca="1" si="6"/>
        <v/>
      </c>
      <c r="AE18" s="55" t="str">
        <f t="shared" ca="1" si="6"/>
        <v/>
      </c>
      <c r="AF18" s="55" t="str">
        <f t="shared" ca="1" si="6"/>
        <v/>
      </c>
      <c r="AG18" s="55" t="str">
        <f t="shared" ca="1" si="6"/>
        <v/>
      </c>
      <c r="AH18" s="55" t="str">
        <f t="shared" ca="1" si="6"/>
        <v/>
      </c>
      <c r="AI18" s="55" t="str">
        <f t="shared" ca="1" si="6"/>
        <v/>
      </c>
      <c r="AJ18" s="55" t="str">
        <f t="shared" ca="1" si="6"/>
        <v/>
      </c>
      <c r="AK18" s="55" t="str">
        <f t="shared" ca="1" si="6"/>
        <v/>
      </c>
      <c r="AL18" s="55" t="str">
        <f t="shared" ca="1" si="6"/>
        <v/>
      </c>
      <c r="AM18" s="55" t="str">
        <f t="shared" ca="1" si="7"/>
        <v/>
      </c>
      <c r="AN18" s="55" t="str">
        <f t="shared" ca="1" si="7"/>
        <v/>
      </c>
      <c r="AO18" s="55" t="str">
        <f t="shared" ca="1" si="7"/>
        <v/>
      </c>
      <c r="AP18" s="55" t="str">
        <f t="shared" ca="1" si="7"/>
        <v/>
      </c>
      <c r="AQ18" s="55" t="str">
        <f t="shared" ca="1" si="7"/>
        <v/>
      </c>
      <c r="AR18" s="55" t="str">
        <f t="shared" ca="1" si="7"/>
        <v/>
      </c>
      <c r="AS18" s="55" t="str">
        <f t="shared" ca="1" si="7"/>
        <v/>
      </c>
      <c r="AT18" s="55" t="str">
        <f t="shared" ca="1" si="7"/>
        <v/>
      </c>
      <c r="AU18" s="55" t="str">
        <f t="shared" ca="1" si="7"/>
        <v/>
      </c>
      <c r="AV18" s="55" t="str">
        <f t="shared" ca="1" si="7"/>
        <v/>
      </c>
      <c r="AW18" s="55" t="str">
        <f t="shared" ca="1" si="8"/>
        <v/>
      </c>
      <c r="AX18" s="55" t="str">
        <f t="shared" ca="1" si="8"/>
        <v/>
      </c>
      <c r="AY18" s="55" t="str">
        <f t="shared" ca="1" si="8"/>
        <v/>
      </c>
      <c r="AZ18" s="55" t="str">
        <f t="shared" ca="1" si="8"/>
        <v/>
      </c>
      <c r="BA18" s="55" t="str">
        <f t="shared" ca="1" si="8"/>
        <v/>
      </c>
      <c r="BB18" s="55" t="str">
        <f t="shared" ca="1" si="8"/>
        <v/>
      </c>
      <c r="BC18" s="55" t="str">
        <f t="shared" ca="1" si="8"/>
        <v/>
      </c>
      <c r="BD18" s="55" t="str">
        <f t="shared" ca="1" si="8"/>
        <v/>
      </c>
      <c r="BE18" s="55" t="str">
        <f t="shared" ca="1" si="8"/>
        <v/>
      </c>
      <c r="BF18" s="55" t="str">
        <f t="shared" ca="1" si="8"/>
        <v/>
      </c>
      <c r="BG18" s="55" t="str">
        <f t="shared" ca="1" si="9"/>
        <v/>
      </c>
      <c r="BH18" s="55" t="str">
        <f t="shared" ca="1" si="9"/>
        <v/>
      </c>
      <c r="BI18" s="55" t="str">
        <f t="shared" ca="1" si="9"/>
        <v/>
      </c>
      <c r="BJ18" s="55" t="str">
        <f t="shared" ca="1" si="9"/>
        <v/>
      </c>
      <c r="BK18" s="55" t="str">
        <f t="shared" ca="1" si="9"/>
        <v/>
      </c>
      <c r="BL18" s="55" t="str">
        <f t="shared" ca="1" si="9"/>
        <v/>
      </c>
    </row>
    <row r="19" spans="1:64" s="18" customFormat="1" ht="39.75" customHeight="1">
      <c r="A19" s="13"/>
      <c r="B19" s="70" t="s">
        <v>57</v>
      </c>
      <c r="C19" s="53" t="s">
        <v>36</v>
      </c>
      <c r="D19" s="53"/>
      <c r="E19" s="54">
        <v>0.5</v>
      </c>
      <c r="F19" s="49" t="d">
        <f ca="1">F18+2</f>
        <v>2026-05-07</v>
      </c>
      <c r="G19" s="50">
        <v>9</v>
      </c>
      <c r="H19" s="53"/>
      <c r="I19" s="55" t="str">
        <f t="shared" ca="1" si="4"/>
        <v/>
      </c>
      <c r="J19" s="55" t="str">
        <f t="shared" ca="1" si="4"/>
        <v/>
      </c>
      <c r="K19" s="55" t="str">
        <f t="shared" ca="1" si="4"/>
        <v/>
      </c>
      <c r="L19" s="55" t="str">
        <f t="shared" ca="1" si="4"/>
        <v/>
      </c>
      <c r="M19" s="55" t="str">
        <f t="shared" ca="1" si="4"/>
        <v/>
      </c>
      <c r="N19" s="55" t="str">
        <f t="shared" ca="1" si="4"/>
        <v/>
      </c>
      <c r="O19" s="55" t="str">
        <f t="shared" ca="1" si="4"/>
        <v/>
      </c>
      <c r="P19" s="55" t="str">
        <f t="shared" ca="1" si="4"/>
        <v/>
      </c>
      <c r="Q19" s="55" t="str">
        <f t="shared" ca="1" si="4"/>
        <v/>
      </c>
      <c r="R19" s="55" t="str">
        <f t="shared" ca="1" si="4"/>
        <v/>
      </c>
      <c r="S19" s="55" t="str">
        <f t="shared" ca="1" si="5"/>
        <v/>
      </c>
      <c r="T19" s="55" t="str">
        <f t="shared" ca="1" si="5"/>
        <v/>
      </c>
      <c r="U19" s="55" t="str">
        <f t="shared" ca="1" si="5"/>
        <v/>
      </c>
      <c r="V19" s="55" t="str">
        <f t="shared" ca="1" si="5"/>
        <v/>
      </c>
      <c r="W19" s="55" t="str">
        <f t="shared" ca="1" si="5"/>
        <v/>
      </c>
      <c r="X19" s="55" t="str">
        <f t="shared" ca="1" si="5"/>
        <v/>
      </c>
      <c r="Y19" s="55" t="str">
        <f t="shared" ca="1" si="5"/>
        <v/>
      </c>
      <c r="Z19" s="55" t="str">
        <f t="shared" ca="1" si="5"/>
        <v/>
      </c>
      <c r="AA19" s="55" t="str">
        <f t="shared" ca="1" si="5"/>
        <v/>
      </c>
      <c r="AB19" s="55" t="str">
        <f t="shared" ca="1" si="5"/>
        <v/>
      </c>
      <c r="AC19" s="55" t="str">
        <f t="shared" ca="1" si="6"/>
        <v/>
      </c>
      <c r="AD19" s="55" t="str">
        <f t="shared" ca="1" si="6"/>
        <v/>
      </c>
      <c r="AE19" s="55" t="str">
        <f t="shared" ca="1" si="6"/>
        <v/>
      </c>
      <c r="AF19" s="55" t="str">
        <f t="shared" ca="1" si="6"/>
        <v/>
      </c>
      <c r="AG19" s="55" t="str">
        <f t="shared" ca="1" si="6"/>
        <v/>
      </c>
      <c r="AH19" s="55" t="str">
        <f t="shared" ca="1" si="6"/>
        <v/>
      </c>
      <c r="AI19" s="55" t="str">
        <f t="shared" ca="1" si="6"/>
        <v/>
      </c>
      <c r="AJ19" s="55" t="str">
        <f t="shared" ca="1" si="6"/>
        <v/>
      </c>
      <c r="AK19" s="55" t="str">
        <f t="shared" ca="1" si="6"/>
        <v/>
      </c>
      <c r="AL19" s="55" t="str">
        <f t="shared" ca="1" si="6"/>
        <v/>
      </c>
      <c r="AM19" s="55" t="str">
        <f t="shared" ca="1" si="7"/>
        <v/>
      </c>
      <c r="AN19" s="55" t="str">
        <f t="shared" ca="1" si="7"/>
        <v/>
      </c>
      <c r="AO19" s="55" t="str">
        <f t="shared" ca="1" si="7"/>
        <v/>
      </c>
      <c r="AP19" s="55" t="str">
        <f t="shared" ca="1" si="7"/>
        <v/>
      </c>
      <c r="AQ19" s="55" t="str">
        <f t="shared" ca="1" si="7"/>
        <v/>
      </c>
      <c r="AR19" s="55" t="str">
        <f t="shared" ca="1" si="7"/>
        <v/>
      </c>
      <c r="AS19" s="55" t="str">
        <f t="shared" ca="1" si="7"/>
        <v/>
      </c>
      <c r="AT19" s="55" t="str">
        <f t="shared" ca="1" si="7"/>
        <v/>
      </c>
      <c r="AU19" s="55" t="str">
        <f t="shared" ca="1" si="7"/>
        <v/>
      </c>
      <c r="AV19" s="55" t="str">
        <f t="shared" ca="1" si="7"/>
        <v/>
      </c>
      <c r="AW19" s="55" t="str">
        <f t="shared" ca="1" si="8"/>
        <v/>
      </c>
      <c r="AX19" s="55" t="str">
        <f t="shared" ca="1" si="8"/>
        <v/>
      </c>
      <c r="AY19" s="55" t="str">
        <f t="shared" ca="1" si="8"/>
        <v/>
      </c>
      <c r="AZ19" s="55" t="str">
        <f t="shared" ca="1" si="8"/>
        <v/>
      </c>
      <c r="BA19" s="55" t="str">
        <f t="shared" ca="1" si="8"/>
        <v/>
      </c>
      <c r="BB19" s="55" t="str">
        <f t="shared" ca="1" si="8"/>
        <v/>
      </c>
      <c r="BC19" s="55" t="str">
        <f t="shared" ca="1" si="8"/>
        <v/>
      </c>
      <c r="BD19" s="55" t="str">
        <f t="shared" ca="1" si="8"/>
        <v/>
      </c>
      <c r="BE19" s="55" t="str">
        <f t="shared" ca="1" si="8"/>
        <v/>
      </c>
      <c r="BF19" s="55" t="str">
        <f t="shared" ca="1" si="8"/>
        <v/>
      </c>
      <c r="BG19" s="55" t="str">
        <f t="shared" ca="1" si="9"/>
        <v/>
      </c>
      <c r="BH19" s="55" t="str">
        <f t="shared" ca="1" si="9"/>
        <v/>
      </c>
      <c r="BI19" s="55" t="str">
        <f t="shared" ca="1" si="9"/>
        <v/>
      </c>
      <c r="BJ19" s="55" t="str">
        <f t="shared" ca="1" si="9"/>
        <v/>
      </c>
      <c r="BK19" s="55" t="str">
        <f t="shared" ca="1" si="9"/>
        <v/>
      </c>
      <c r="BL19" s="55" t="str">
        <f t="shared" ca="1" si="9"/>
        <v/>
      </c>
    </row>
    <row r="20" spans="1:64" s="18" customFormat="1" ht="39.75" customHeight="1">
      <c r="A20" s="13"/>
      <c r="B20" s="70" t="s">
        <v>58</v>
      </c>
      <c r="C20" s="53" t="s">
        <v>33</v>
      </c>
      <c r="D20" s="53"/>
      <c r="E20" s="54">
        <v>0.33</v>
      </c>
      <c r="F20" s="49" t="d">
        <f ca="1">F19+5</f>
        <v>2026-05-12</v>
      </c>
      <c r="G20" s="50">
        <v>11</v>
      </c>
      <c r="H20" s="53"/>
      <c r="I20" s="55" t="str">
        <f t="shared" ca="1" si="4"/>
        <v/>
      </c>
      <c r="J20" s="55" t="str">
        <f t="shared" ca="1" si="4"/>
        <v/>
      </c>
      <c r="K20" s="55" t="str">
        <f t="shared" ca="1" si="4"/>
        <v/>
      </c>
      <c r="L20" s="55" t="str">
        <f t="shared" ca="1" si="4"/>
        <v/>
      </c>
      <c r="M20" s="55" t="str">
        <f t="shared" ca="1" si="4"/>
        <v/>
      </c>
      <c r="N20" s="55" t="str">
        <f t="shared" ca="1" si="4"/>
        <v/>
      </c>
      <c r="O20" s="55" t="str">
        <f t="shared" ca="1" si="4"/>
        <v/>
      </c>
      <c r="P20" s="55" t="str">
        <f t="shared" ca="1" si="4"/>
        <v/>
      </c>
      <c r="Q20" s="55" t="str">
        <f t="shared" ca="1" si="4"/>
        <v/>
      </c>
      <c r="R20" s="55" t="str">
        <f t="shared" ca="1" si="4"/>
        <v/>
      </c>
      <c r="S20" s="55" t="str">
        <f t="shared" ca="1" si="5"/>
        <v/>
      </c>
      <c r="T20" s="55" t="str">
        <f t="shared" ca="1" si="5"/>
        <v/>
      </c>
      <c r="U20" s="55" t="str">
        <f t="shared" ca="1" si="5"/>
        <v/>
      </c>
      <c r="V20" s="55" t="str">
        <f t="shared" ca="1" si="5"/>
        <v/>
      </c>
      <c r="W20" s="55" t="str">
        <f t="shared" ca="1" si="5"/>
        <v/>
      </c>
      <c r="X20" s="55" t="str">
        <f t="shared" ca="1" si="5"/>
        <v/>
      </c>
      <c r="Y20" s="55" t="str">
        <f t="shared" ca="1" si="5"/>
        <v/>
      </c>
      <c r="Z20" s="55" t="str">
        <f t="shared" ca="1" si="5"/>
        <v/>
      </c>
      <c r="AA20" s="55" t="str">
        <f t="shared" ca="1" si="5"/>
        <v/>
      </c>
      <c r="AB20" s="55" t="str">
        <f t="shared" ca="1" si="5"/>
        <v/>
      </c>
      <c r="AC20" s="55" t="str">
        <f t="shared" ca="1" si="6"/>
        <v/>
      </c>
      <c r="AD20" s="55" t="str">
        <f t="shared" ca="1" si="6"/>
        <v/>
      </c>
      <c r="AE20" s="55" t="str">
        <f t="shared" ca="1" si="6"/>
        <v/>
      </c>
      <c r="AF20" s="55" t="str">
        <f t="shared" ca="1" si="6"/>
        <v/>
      </c>
      <c r="AG20" s="55" t="str">
        <f t="shared" ca="1" si="6"/>
        <v/>
      </c>
      <c r="AH20" s="55" t="str">
        <f t="shared" ca="1" si="6"/>
        <v/>
      </c>
      <c r="AI20" s="55" t="str">
        <f t="shared" ca="1" si="6"/>
        <v/>
      </c>
      <c r="AJ20" s="55" t="str">
        <f t="shared" ca="1" si="6"/>
        <v/>
      </c>
      <c r="AK20" s="55" t="str">
        <f t="shared" ca="1" si="6"/>
        <v/>
      </c>
      <c r="AL20" s="55" t="str">
        <f t="shared" ca="1" si="6"/>
        <v/>
      </c>
      <c r="AM20" s="55" t="str">
        <f t="shared" ca="1" si="7"/>
        <v/>
      </c>
      <c r="AN20" s="55" t="str">
        <f t="shared" ca="1" si="7"/>
        <v/>
      </c>
      <c r="AO20" s="55" t="str">
        <f t="shared" ca="1" si="7"/>
        <v/>
      </c>
      <c r="AP20" s="55" t="str">
        <f t="shared" ca="1" si="7"/>
        <v/>
      </c>
      <c r="AQ20" s="55" t="str">
        <f t="shared" ca="1" si="7"/>
        <v/>
      </c>
      <c r="AR20" s="55" t="str">
        <f t="shared" ca="1" si="7"/>
        <v/>
      </c>
      <c r="AS20" s="55" t="str">
        <f t="shared" ca="1" si="7"/>
        <v/>
      </c>
      <c r="AT20" s="55" t="str">
        <f t="shared" ca="1" si="7"/>
        <v/>
      </c>
      <c r="AU20" s="55" t="str">
        <f t="shared" ca="1" si="7"/>
        <v/>
      </c>
      <c r="AV20" s="55" t="str">
        <f t="shared" ca="1" si="7"/>
        <v/>
      </c>
      <c r="AW20" s="55" t="str">
        <f t="shared" ca="1" si="8"/>
        <v/>
      </c>
      <c r="AX20" s="55" t="str">
        <f t="shared" ca="1" si="8"/>
        <v/>
      </c>
      <c r="AY20" s="55" t="str">
        <f t="shared" ca="1" si="8"/>
        <v/>
      </c>
      <c r="AZ20" s="55" t="str">
        <f t="shared" ca="1" si="8"/>
        <v/>
      </c>
      <c r="BA20" s="55" t="str">
        <f t="shared" ca="1" si="8"/>
        <v/>
      </c>
      <c r="BB20" s="55" t="str">
        <f t="shared" ca="1" si="8"/>
        <v/>
      </c>
      <c r="BC20" s="55" t="str">
        <f t="shared" ca="1" si="8"/>
        <v/>
      </c>
      <c r="BD20" s="55" t="str">
        <f t="shared" ca="1" si="8"/>
        <v/>
      </c>
      <c r="BE20" s="55" t="str">
        <f t="shared" ca="1" si="8"/>
        <v/>
      </c>
      <c r="BF20" s="55" t="str">
        <f t="shared" ca="1" si="8"/>
        <v/>
      </c>
      <c r="BG20" s="55" t="str">
        <f t="shared" ca="1" si="9"/>
        <v/>
      </c>
      <c r="BH20" s="55" t="str">
        <f t="shared" ca="1" si="9"/>
        <v/>
      </c>
      <c r="BI20" s="55" t="str">
        <f t="shared" ca="1" si="9"/>
        <v/>
      </c>
      <c r="BJ20" s="55" t="str">
        <f t="shared" ca="1" si="9"/>
        <v/>
      </c>
      <c r="BK20" s="55" t="str">
        <f t="shared" ca="1" si="9"/>
        <v/>
      </c>
      <c r="BL20" s="55" t="str">
        <f t="shared" ca="1" si="9"/>
        <v/>
      </c>
    </row>
    <row r="21" spans="1:64" s="18" customFormat="1" ht="39.75" customHeight="1">
      <c r="A21" s="13"/>
      <c r="B21" s="70" t="s">
        <v>59</v>
      </c>
      <c r="C21" s="53" t="s">
        <v>46</v>
      </c>
      <c r="D21" s="53"/>
      <c r="E21" s="54"/>
      <c r="F21" s="49" t="d">
        <f ca="1">F20+2</f>
        <v>2026-05-14</v>
      </c>
      <c r="G21" s="50">
        <v>1</v>
      </c>
      <c r="H21" s="53"/>
      <c r="I21" s="55" t="str">
        <f t="shared" ref="I21:R35" ca="1" si="10">IF(AND($C21="Goal",I$7&gt;=$F21,I$7&lt;=$F21+$G21-1),2,IF(AND($C21="Milestone",I$7&gt;=$F21,I$7&lt;=$F21+$G21-1),1,""))</f>
        <v/>
      </c>
      <c r="J21" s="55" t="str">
        <f t="shared" ca="1" si="10"/>
        <v/>
      </c>
      <c r="K21" s="55" t="str">
        <f t="shared" ca="1" si="10"/>
        <v/>
      </c>
      <c r="L21" s="55" t="str">
        <f t="shared" ca="1" si="10"/>
        <v/>
      </c>
      <c r="M21" s="55" t="str">
        <f t="shared" ca="1" si="10"/>
        <v/>
      </c>
      <c r="N21" s="55" t="str">
        <f t="shared" ca="1" si="10"/>
        <v/>
      </c>
      <c r="O21" s="55" t="str">
        <f t="shared" ca="1" si="10"/>
        <v/>
      </c>
      <c r="P21" s="55" t="str">
        <f t="shared" ca="1" si="10"/>
        <v/>
      </c>
      <c r="Q21" s="55" t="str">
        <f t="shared" ca="1" si="10"/>
        <v/>
      </c>
      <c r="R21" s="55" t="str">
        <f t="shared" ca="1" si="10"/>
        <v/>
      </c>
      <c r="S21" s="55" t="str">
        <f t="shared" ref="S21:AB35" ca="1" si="11">IF(AND($C21="Goal",S$7&gt;=$F21,S$7&lt;=$F21+$G21-1),2,IF(AND($C21="Milestone",S$7&gt;=$F21,S$7&lt;=$F21+$G21-1),1,""))</f>
        <v/>
      </c>
      <c r="T21" s="55" t="str">
        <f t="shared" ca="1" si="11"/>
        <v/>
      </c>
      <c r="U21" s="55" t="str">
        <f t="shared" ca="1" si="11"/>
        <v/>
      </c>
      <c r="V21" s="55" t="str">
        <f t="shared" ca="1" si="11"/>
        <v/>
      </c>
      <c r="W21" s="55" t="str">
        <f t="shared" ca="1" si="11"/>
        <v/>
      </c>
      <c r="X21" s="55" t="str">
        <f t="shared" ca="1" si="11"/>
        <v/>
      </c>
      <c r="Y21" s="55" t="str">
        <f t="shared" ca="1" si="11"/>
        <v/>
      </c>
      <c r="Z21" s="55">
        <f t="shared" ca="1" si="11"/>
        <v>1</v>
      </c>
      <c r="AA21" s="55" t="str">
        <f t="shared" ca="1" si="11"/>
        <v/>
      </c>
      <c r="AB21" s="55" t="str">
        <f t="shared" ca="1" si="11"/>
        <v/>
      </c>
      <c r="AC21" s="55" t="str">
        <f t="shared" ref="AC21:AL35" ca="1" si="12">IF(AND($C21="Goal",AC$7&gt;=$F21,AC$7&lt;=$F21+$G21-1),2,IF(AND($C21="Milestone",AC$7&gt;=$F21,AC$7&lt;=$F21+$G21-1),1,""))</f>
        <v/>
      </c>
      <c r="AD21" s="55" t="str">
        <f t="shared" ca="1" si="12"/>
        <v/>
      </c>
      <c r="AE21" s="55" t="str">
        <f t="shared" ca="1" si="12"/>
        <v/>
      </c>
      <c r="AF21" s="55" t="str">
        <f t="shared" ca="1" si="12"/>
        <v/>
      </c>
      <c r="AG21" s="55" t="str">
        <f t="shared" ca="1" si="12"/>
        <v/>
      </c>
      <c r="AH21" s="55" t="str">
        <f t="shared" ca="1" si="12"/>
        <v/>
      </c>
      <c r="AI21" s="55" t="str">
        <f t="shared" ca="1" si="12"/>
        <v/>
      </c>
      <c r="AJ21" s="55" t="str">
        <f t="shared" ca="1" si="12"/>
        <v/>
      </c>
      <c r="AK21" s="55" t="str">
        <f t="shared" ca="1" si="12"/>
        <v/>
      </c>
      <c r="AL21" s="55" t="str">
        <f t="shared" ca="1" si="12"/>
        <v/>
      </c>
      <c r="AM21" s="55" t="str">
        <f t="shared" ref="AM21:AV35" ca="1" si="13">IF(AND($C21="Goal",AM$7&gt;=$F21,AM$7&lt;=$F21+$G21-1),2,IF(AND($C21="Milestone",AM$7&gt;=$F21,AM$7&lt;=$F21+$G21-1),1,""))</f>
        <v/>
      </c>
      <c r="AN21" s="55" t="str">
        <f t="shared" ca="1" si="13"/>
        <v/>
      </c>
      <c r="AO21" s="55" t="str">
        <f t="shared" ca="1" si="13"/>
        <v/>
      </c>
      <c r="AP21" s="55" t="str">
        <f t="shared" ca="1" si="13"/>
        <v/>
      </c>
      <c r="AQ21" s="55" t="str">
        <f t="shared" ca="1" si="13"/>
        <v/>
      </c>
      <c r="AR21" s="55" t="str">
        <f t="shared" ca="1" si="13"/>
        <v/>
      </c>
      <c r="AS21" s="55" t="str">
        <f t="shared" ca="1" si="13"/>
        <v/>
      </c>
      <c r="AT21" s="55" t="str">
        <f t="shared" ca="1" si="13"/>
        <v/>
      </c>
      <c r="AU21" s="55" t="str">
        <f t="shared" ca="1" si="13"/>
        <v/>
      </c>
      <c r="AV21" s="55" t="str">
        <f t="shared" ca="1" si="13"/>
        <v/>
      </c>
      <c r="AW21" s="55" t="str">
        <f t="shared" ref="AW21:BF35" ca="1" si="14">IF(AND($C21="Goal",AW$7&gt;=$F21,AW$7&lt;=$F21+$G21-1),2,IF(AND($C21="Milestone",AW$7&gt;=$F21,AW$7&lt;=$F21+$G21-1),1,""))</f>
        <v/>
      </c>
      <c r="AX21" s="55" t="str">
        <f t="shared" ca="1" si="14"/>
        <v/>
      </c>
      <c r="AY21" s="55" t="str">
        <f t="shared" ca="1" si="14"/>
        <v/>
      </c>
      <c r="AZ21" s="55" t="str">
        <f t="shared" ca="1" si="14"/>
        <v/>
      </c>
      <c r="BA21" s="55" t="str">
        <f t="shared" ca="1" si="14"/>
        <v/>
      </c>
      <c r="BB21" s="55" t="str">
        <f t="shared" ca="1" si="14"/>
        <v/>
      </c>
      <c r="BC21" s="55" t="str">
        <f t="shared" ca="1" si="14"/>
        <v/>
      </c>
      <c r="BD21" s="55" t="str">
        <f t="shared" ca="1" si="14"/>
        <v/>
      </c>
      <c r="BE21" s="55" t="str">
        <f t="shared" ca="1" si="14"/>
        <v/>
      </c>
      <c r="BF21" s="55" t="str">
        <f t="shared" ca="1" si="14"/>
        <v/>
      </c>
      <c r="BG21" s="55" t="str">
        <f t="shared" ref="BG21:BL35" ca="1" si="15">IF(AND($C21="Goal",BG$7&gt;=$F21,BG$7&lt;=$F21+$G21-1),2,IF(AND($C21="Milestone",BG$7&gt;=$F21,BG$7&lt;=$F21+$G21-1),1,""))</f>
        <v/>
      </c>
      <c r="BH21" s="55" t="str">
        <f t="shared" ca="1" si="15"/>
        <v/>
      </c>
      <c r="BI21" s="55" t="str">
        <f t="shared" ca="1" si="15"/>
        <v/>
      </c>
      <c r="BJ21" s="55" t="str">
        <f t="shared" ca="1" si="15"/>
        <v/>
      </c>
      <c r="BK21" s="55" t="str">
        <f t="shared" ca="1" si="15"/>
        <v/>
      </c>
      <c r="BL21" s="55" t="str">
        <f t="shared" ca="1" si="15"/>
        <v/>
      </c>
    </row>
    <row r="22" spans="1:64" s="18" customFormat="1" ht="39.75" customHeight="1">
      <c r="A22" s="13"/>
      <c r="B22" s="70" t="s">
        <v>41</v>
      </c>
      <c r="C22" s="53"/>
      <c r="D22" s="53"/>
      <c r="E22" s="54"/>
      <c r="F22" s="49" t="d">
        <f ca="1">F21+1</f>
        <v>2026-05-15</v>
      </c>
      <c r="G22" s="50">
        <v>24</v>
      </c>
      <c r="H22" s="53"/>
      <c r="I22" s="55" t="str">
        <f t="shared" ca="1" si="10"/>
        <v/>
      </c>
      <c r="J22" s="55" t="str">
        <f t="shared" ca="1" si="10"/>
        <v/>
      </c>
      <c r="K22" s="55" t="str">
        <f t="shared" ca="1" si="10"/>
        <v/>
      </c>
      <c r="L22" s="55" t="str">
        <f t="shared" ca="1" si="10"/>
        <v/>
      </c>
      <c r="M22" s="55" t="str">
        <f t="shared" ca="1" si="10"/>
        <v/>
      </c>
      <c r="N22" s="55" t="str">
        <f t="shared" ca="1" si="10"/>
        <v/>
      </c>
      <c r="O22" s="55" t="str">
        <f t="shared" ca="1" si="10"/>
        <v/>
      </c>
      <c r="P22" s="55" t="str">
        <f t="shared" ca="1" si="10"/>
        <v/>
      </c>
      <c r="Q22" s="55" t="str">
        <f t="shared" ca="1" si="10"/>
        <v/>
      </c>
      <c r="R22" s="55" t="str">
        <f t="shared" ca="1" si="10"/>
        <v/>
      </c>
      <c r="S22" s="55" t="str">
        <f t="shared" ca="1" si="11"/>
        <v/>
      </c>
      <c r="T22" s="55" t="str">
        <f t="shared" ca="1" si="11"/>
        <v/>
      </c>
      <c r="U22" s="55" t="str">
        <f t="shared" ca="1" si="11"/>
        <v/>
      </c>
      <c r="V22" s="55" t="str">
        <f t="shared" ca="1" si="11"/>
        <v/>
      </c>
      <c r="W22" s="55" t="str">
        <f t="shared" ca="1" si="11"/>
        <v/>
      </c>
      <c r="X22" s="55" t="str">
        <f t="shared" ca="1" si="11"/>
        <v/>
      </c>
      <c r="Y22" s="55" t="str">
        <f t="shared" ca="1" si="11"/>
        <v/>
      </c>
      <c r="Z22" s="55" t="str">
        <f t="shared" ca="1" si="11"/>
        <v/>
      </c>
      <c r="AA22" s="55" t="str">
        <f t="shared" ca="1" si="11"/>
        <v/>
      </c>
      <c r="AB22" s="55" t="str">
        <f t="shared" ca="1" si="11"/>
        <v/>
      </c>
      <c r="AC22" s="55" t="str">
        <f t="shared" ca="1" si="12"/>
        <v/>
      </c>
      <c r="AD22" s="55" t="str">
        <f t="shared" ca="1" si="12"/>
        <v/>
      </c>
      <c r="AE22" s="55" t="str">
        <f t="shared" ca="1" si="12"/>
        <v/>
      </c>
      <c r="AF22" s="55" t="str">
        <f t="shared" ca="1" si="12"/>
        <v/>
      </c>
      <c r="AG22" s="55" t="str">
        <f t="shared" ca="1" si="12"/>
        <v/>
      </c>
      <c r="AH22" s="55" t="str">
        <f t="shared" ca="1" si="12"/>
        <v/>
      </c>
      <c r="AI22" s="55" t="str">
        <f t="shared" ca="1" si="12"/>
        <v/>
      </c>
      <c r="AJ22" s="55" t="str">
        <f t="shared" ca="1" si="12"/>
        <v/>
      </c>
      <c r="AK22" s="55" t="str">
        <f t="shared" ca="1" si="12"/>
        <v/>
      </c>
      <c r="AL22" s="55" t="str">
        <f t="shared" ca="1" si="12"/>
        <v/>
      </c>
      <c r="AM22" s="55" t="str">
        <f t="shared" ca="1" si="13"/>
        <v/>
      </c>
      <c r="AN22" s="55" t="str">
        <f t="shared" ca="1" si="13"/>
        <v/>
      </c>
      <c r="AO22" s="55" t="str">
        <f t="shared" ca="1" si="13"/>
        <v/>
      </c>
      <c r="AP22" s="55" t="str">
        <f t="shared" ca="1" si="13"/>
        <v/>
      </c>
      <c r="AQ22" s="55" t="str">
        <f t="shared" ca="1" si="13"/>
        <v/>
      </c>
      <c r="AR22" s="55" t="str">
        <f t="shared" ca="1" si="13"/>
        <v/>
      </c>
      <c r="AS22" s="55" t="str">
        <f t="shared" ca="1" si="13"/>
        <v/>
      </c>
      <c r="AT22" s="55" t="str">
        <f t="shared" ca="1" si="13"/>
        <v/>
      </c>
      <c r="AU22" s="55" t="str">
        <f t="shared" ca="1" si="13"/>
        <v/>
      </c>
      <c r="AV22" s="55" t="str">
        <f t="shared" ca="1" si="13"/>
        <v/>
      </c>
      <c r="AW22" s="55" t="str">
        <f t="shared" ca="1" si="14"/>
        <v/>
      </c>
      <c r="AX22" s="55" t="str">
        <f t="shared" ca="1" si="14"/>
        <v/>
      </c>
      <c r="AY22" s="55" t="str">
        <f t="shared" ca="1" si="14"/>
        <v/>
      </c>
      <c r="AZ22" s="55" t="str">
        <f t="shared" ca="1" si="14"/>
        <v/>
      </c>
      <c r="BA22" s="55" t="str">
        <f t="shared" ca="1" si="14"/>
        <v/>
      </c>
      <c r="BB22" s="55" t="str">
        <f t="shared" ca="1" si="14"/>
        <v/>
      </c>
      <c r="BC22" s="55" t="str">
        <f t="shared" ca="1" si="14"/>
        <v/>
      </c>
      <c r="BD22" s="55" t="str">
        <f t="shared" ca="1" si="14"/>
        <v/>
      </c>
      <c r="BE22" s="55" t="str">
        <f t="shared" ca="1" si="14"/>
        <v/>
      </c>
      <c r="BF22" s="55" t="str">
        <f t="shared" ca="1" si="14"/>
        <v/>
      </c>
      <c r="BG22" s="55" t="str">
        <f t="shared" ca="1" si="15"/>
        <v/>
      </c>
      <c r="BH22" s="55" t="str">
        <f t="shared" ca="1" si="15"/>
        <v/>
      </c>
      <c r="BI22" s="55" t="str">
        <f t="shared" ca="1" si="15"/>
        <v/>
      </c>
      <c r="BJ22" s="55" t="str">
        <f t="shared" ca="1" si="15"/>
        <v/>
      </c>
      <c r="BK22" s="55" t="str">
        <f t="shared" ca="1" si="15"/>
        <v/>
      </c>
      <c r="BL22" s="55" t="str">
        <f t="shared" ca="1" si="15"/>
        <v/>
      </c>
    </row>
    <row r="23" spans="1:64" s="18" customFormat="1" ht="39.75" customHeight="1">
      <c r="A23" s="13"/>
      <c r="B23" s="139" t="s">
        <v>62</v>
      </c>
      <c r="C23" s="53"/>
      <c r="D23" s="53"/>
      <c r="E23" s="54"/>
      <c r="F23" s="49"/>
      <c r="G23" s="50"/>
      <c r="H23" s="53"/>
      <c r="I23" s="55" t="str">
        <f t="shared" ca="1" si="10"/>
        <v/>
      </c>
      <c r="J23" s="55" t="str">
        <f t="shared" ca="1" si="10"/>
        <v/>
      </c>
      <c r="K23" s="55" t="str">
        <f t="shared" ca="1" si="10"/>
        <v/>
      </c>
      <c r="L23" s="55" t="str">
        <f t="shared" ca="1" si="10"/>
        <v/>
      </c>
      <c r="M23" s="55" t="str">
        <f t="shared" ca="1" si="10"/>
        <v/>
      </c>
      <c r="N23" s="55" t="str">
        <f t="shared" ca="1" si="10"/>
        <v/>
      </c>
      <c r="O23" s="55" t="str">
        <f t="shared" ca="1" si="10"/>
        <v/>
      </c>
      <c r="P23" s="55" t="str">
        <f t="shared" ca="1" si="10"/>
        <v/>
      </c>
      <c r="Q23" s="55" t="str">
        <f t="shared" ca="1" si="10"/>
        <v/>
      </c>
      <c r="R23" s="55" t="str">
        <f t="shared" ca="1" si="10"/>
        <v/>
      </c>
      <c r="S23" s="55" t="str">
        <f t="shared" ca="1" si="11"/>
        <v/>
      </c>
      <c r="T23" s="55" t="str">
        <f t="shared" ca="1" si="11"/>
        <v/>
      </c>
      <c r="U23" s="55" t="str">
        <f t="shared" ca="1" si="11"/>
        <v/>
      </c>
      <c r="V23" s="55" t="str">
        <f t="shared" ca="1" si="11"/>
        <v/>
      </c>
      <c r="W23" s="55" t="str">
        <f t="shared" ca="1" si="11"/>
        <v/>
      </c>
      <c r="X23" s="55" t="str">
        <f t="shared" ca="1" si="11"/>
        <v/>
      </c>
      <c r="Y23" s="55" t="str">
        <f t="shared" ca="1" si="11"/>
        <v/>
      </c>
      <c r="Z23" s="55" t="str">
        <f t="shared" ca="1" si="11"/>
        <v/>
      </c>
      <c r="AA23" s="55" t="str">
        <f t="shared" ca="1" si="11"/>
        <v/>
      </c>
      <c r="AB23" s="55" t="str">
        <f t="shared" ca="1" si="11"/>
        <v/>
      </c>
      <c r="AC23" s="55" t="str">
        <f t="shared" ca="1" si="12"/>
        <v/>
      </c>
      <c r="AD23" s="55" t="str">
        <f t="shared" ca="1" si="12"/>
        <v/>
      </c>
      <c r="AE23" s="55" t="str">
        <f t="shared" ca="1" si="12"/>
        <v/>
      </c>
      <c r="AF23" s="55" t="str">
        <f t="shared" ca="1" si="12"/>
        <v/>
      </c>
      <c r="AG23" s="55" t="str">
        <f t="shared" ca="1" si="12"/>
        <v/>
      </c>
      <c r="AH23" s="55" t="str">
        <f t="shared" ca="1" si="12"/>
        <v/>
      </c>
      <c r="AI23" s="55" t="str">
        <f t="shared" ca="1" si="12"/>
        <v/>
      </c>
      <c r="AJ23" s="55" t="str">
        <f t="shared" ca="1" si="12"/>
        <v/>
      </c>
      <c r="AK23" s="55" t="str">
        <f t="shared" ca="1" si="12"/>
        <v/>
      </c>
      <c r="AL23" s="55" t="str">
        <f t="shared" ca="1" si="12"/>
        <v/>
      </c>
      <c r="AM23" s="55" t="str">
        <f t="shared" ca="1" si="13"/>
        <v/>
      </c>
      <c r="AN23" s="55" t="str">
        <f t="shared" ca="1" si="13"/>
        <v/>
      </c>
      <c r="AO23" s="55" t="str">
        <f t="shared" ca="1" si="13"/>
        <v/>
      </c>
      <c r="AP23" s="55" t="str">
        <f t="shared" ca="1" si="13"/>
        <v/>
      </c>
      <c r="AQ23" s="55" t="str">
        <f t="shared" ca="1" si="13"/>
        <v/>
      </c>
      <c r="AR23" s="55" t="str">
        <f t="shared" ca="1" si="13"/>
        <v/>
      </c>
      <c r="AS23" s="55" t="str">
        <f t="shared" ca="1" si="13"/>
        <v/>
      </c>
      <c r="AT23" s="55" t="str">
        <f t="shared" ca="1" si="13"/>
        <v/>
      </c>
      <c r="AU23" s="55" t="str">
        <f t="shared" ca="1" si="13"/>
        <v/>
      </c>
      <c r="AV23" s="55" t="str">
        <f t="shared" ca="1" si="13"/>
        <v/>
      </c>
      <c r="AW23" s="55" t="str">
        <f t="shared" ca="1" si="14"/>
        <v/>
      </c>
      <c r="AX23" s="55" t="str">
        <f t="shared" ca="1" si="14"/>
        <v/>
      </c>
      <c r="AY23" s="55" t="str">
        <f t="shared" ca="1" si="14"/>
        <v/>
      </c>
      <c r="AZ23" s="55" t="str">
        <f t="shared" ca="1" si="14"/>
        <v/>
      </c>
      <c r="BA23" s="55" t="str">
        <f t="shared" ca="1" si="14"/>
        <v/>
      </c>
      <c r="BB23" s="55" t="str">
        <f t="shared" ca="1" si="14"/>
        <v/>
      </c>
      <c r="BC23" s="55" t="str">
        <f t="shared" ca="1" si="14"/>
        <v/>
      </c>
      <c r="BD23" s="55" t="str">
        <f t="shared" ca="1" si="14"/>
        <v/>
      </c>
      <c r="BE23" s="55" t="str">
        <f t="shared" ca="1" si="14"/>
        <v/>
      </c>
      <c r="BF23" s="55" t="str">
        <f t="shared" ca="1" si="14"/>
        <v/>
      </c>
      <c r="BG23" s="55" t="str">
        <f t="shared" ca="1" si="15"/>
        <v/>
      </c>
      <c r="BH23" s="55" t="str">
        <f t="shared" ca="1" si="15"/>
        <v/>
      </c>
      <c r="BI23" s="55" t="str">
        <f t="shared" ca="1" si="15"/>
        <v/>
      </c>
      <c r="BJ23" s="55" t="str">
        <f t="shared" ca="1" si="15"/>
        <v/>
      </c>
      <c r="BK23" s="55" t="str">
        <f t="shared" ca="1" si="15"/>
        <v/>
      </c>
      <c r="BL23" s="55" t="str">
        <f t="shared" ca="1" si="15"/>
        <v/>
      </c>
    </row>
    <row r="24" spans="1:64" s="18" customFormat="1" ht="39.75" customHeight="1">
      <c r="A24" s="13"/>
      <c r="B24" s="70" t="s">
        <v>54</v>
      </c>
      <c r="C24" s="53" t="s">
        <v>36</v>
      </c>
      <c r="D24" s="53"/>
      <c r="E24" s="54"/>
      <c r="F24" s="49" t="d">
        <f ca="1">F12+15</f>
        <v>2026-05-14</v>
      </c>
      <c r="G24" s="50">
        <v>4</v>
      </c>
      <c r="H24" s="53"/>
      <c r="I24" s="55" t="str">
        <f t="shared" ca="1" si="10"/>
        <v/>
      </c>
      <c r="J24" s="55" t="str">
        <f t="shared" ca="1" si="10"/>
        <v/>
      </c>
      <c r="K24" s="55" t="str">
        <f t="shared" ca="1" si="10"/>
        <v/>
      </c>
      <c r="L24" s="55" t="str">
        <f t="shared" ca="1" si="10"/>
        <v/>
      </c>
      <c r="M24" s="55" t="str">
        <f t="shared" ca="1" si="10"/>
        <v/>
      </c>
      <c r="N24" s="55" t="str">
        <f t="shared" ca="1" si="10"/>
        <v/>
      </c>
      <c r="O24" s="55" t="str">
        <f t="shared" ca="1" si="10"/>
        <v/>
      </c>
      <c r="P24" s="55" t="str">
        <f t="shared" ca="1" si="10"/>
        <v/>
      </c>
      <c r="Q24" s="55" t="str">
        <f t="shared" ca="1" si="10"/>
        <v/>
      </c>
      <c r="R24" s="55" t="str">
        <f t="shared" ca="1" si="10"/>
        <v/>
      </c>
      <c r="S24" s="55" t="str">
        <f t="shared" ca="1" si="11"/>
        <v/>
      </c>
      <c r="T24" s="55" t="str">
        <f t="shared" ca="1" si="11"/>
        <v/>
      </c>
      <c r="U24" s="55" t="str">
        <f t="shared" ca="1" si="11"/>
        <v/>
      </c>
      <c r="V24" s="55" t="str">
        <f t="shared" ca="1" si="11"/>
        <v/>
      </c>
      <c r="W24" s="55" t="str">
        <f t="shared" ca="1" si="11"/>
        <v/>
      </c>
      <c r="X24" s="55" t="str">
        <f t="shared" ca="1" si="11"/>
        <v/>
      </c>
      <c r="Y24" s="55" t="str">
        <f t="shared" ca="1" si="11"/>
        <v/>
      </c>
      <c r="Z24" s="55" t="str">
        <f t="shared" ca="1" si="11"/>
        <v/>
      </c>
      <c r="AA24" s="55" t="str">
        <f t="shared" ca="1" si="11"/>
        <v/>
      </c>
      <c r="AB24" s="55" t="str">
        <f t="shared" ca="1" si="11"/>
        <v/>
      </c>
      <c r="AC24" s="55" t="str">
        <f t="shared" ca="1" si="12"/>
        <v/>
      </c>
      <c r="AD24" s="55" t="str">
        <f t="shared" ca="1" si="12"/>
        <v/>
      </c>
      <c r="AE24" s="55" t="str">
        <f t="shared" ca="1" si="12"/>
        <v/>
      </c>
      <c r="AF24" s="55" t="str">
        <f t="shared" ca="1" si="12"/>
        <v/>
      </c>
      <c r="AG24" s="55" t="str">
        <f t="shared" ca="1" si="12"/>
        <v/>
      </c>
      <c r="AH24" s="55" t="str">
        <f t="shared" ca="1" si="12"/>
        <v/>
      </c>
      <c r="AI24" s="55" t="str">
        <f t="shared" ca="1" si="12"/>
        <v/>
      </c>
      <c r="AJ24" s="55" t="str">
        <f t="shared" ca="1" si="12"/>
        <v/>
      </c>
      <c r="AK24" s="55" t="str">
        <f t="shared" ca="1" si="12"/>
        <v/>
      </c>
      <c r="AL24" s="55" t="str">
        <f t="shared" ca="1" si="12"/>
        <v/>
      </c>
      <c r="AM24" s="55" t="str">
        <f t="shared" ca="1" si="13"/>
        <v/>
      </c>
      <c r="AN24" s="55" t="str">
        <f t="shared" ca="1" si="13"/>
        <v/>
      </c>
      <c r="AO24" s="55" t="str">
        <f t="shared" ca="1" si="13"/>
        <v/>
      </c>
      <c r="AP24" s="55" t="str">
        <f t="shared" ca="1" si="13"/>
        <v/>
      </c>
      <c r="AQ24" s="55" t="str">
        <f t="shared" ca="1" si="13"/>
        <v/>
      </c>
      <c r="AR24" s="55" t="str">
        <f t="shared" ca="1" si="13"/>
        <v/>
      </c>
      <c r="AS24" s="55" t="str">
        <f t="shared" ca="1" si="13"/>
        <v/>
      </c>
      <c r="AT24" s="55" t="str">
        <f t="shared" ca="1" si="13"/>
        <v/>
      </c>
      <c r="AU24" s="55" t="str">
        <f t="shared" ca="1" si="13"/>
        <v/>
      </c>
      <c r="AV24" s="55" t="str">
        <f t="shared" ca="1" si="13"/>
        <v/>
      </c>
      <c r="AW24" s="55" t="str">
        <f t="shared" ca="1" si="14"/>
        <v/>
      </c>
      <c r="AX24" s="55" t="str">
        <f t="shared" ca="1" si="14"/>
        <v/>
      </c>
      <c r="AY24" s="55" t="str">
        <f t="shared" ca="1" si="14"/>
        <v/>
      </c>
      <c r="AZ24" s="55" t="str">
        <f t="shared" ca="1" si="14"/>
        <v/>
      </c>
      <c r="BA24" s="55" t="str">
        <f t="shared" ca="1" si="14"/>
        <v/>
      </c>
      <c r="BB24" s="55" t="str">
        <f t="shared" ca="1" si="14"/>
        <v/>
      </c>
      <c r="BC24" s="55" t="str">
        <f t="shared" ca="1" si="14"/>
        <v/>
      </c>
      <c r="BD24" s="55" t="str">
        <f t="shared" ca="1" si="14"/>
        <v/>
      </c>
      <c r="BE24" s="55" t="str">
        <f t="shared" ca="1" si="14"/>
        <v/>
      </c>
      <c r="BF24" s="55" t="str">
        <f t="shared" ca="1" si="14"/>
        <v/>
      </c>
      <c r="BG24" s="55" t="str">
        <f t="shared" ca="1" si="15"/>
        <v/>
      </c>
      <c r="BH24" s="55" t="str">
        <f t="shared" ca="1" si="15"/>
        <v/>
      </c>
      <c r="BI24" s="55" t="str">
        <f t="shared" ca="1" si="15"/>
        <v/>
      </c>
      <c r="BJ24" s="55" t="str">
        <f t="shared" ca="1" si="15"/>
        <v/>
      </c>
      <c r="BK24" s="55" t="str">
        <f t="shared" ca="1" si="15"/>
        <v/>
      </c>
      <c r="BL24" s="55" t="str">
        <f t="shared" ca="1" si="15"/>
        <v/>
      </c>
    </row>
    <row r="25" spans="1:64" s="18" customFormat="1" ht="39.75" customHeight="1">
      <c r="A25" s="13"/>
      <c r="B25" s="70" t="s">
        <v>57</v>
      </c>
      <c r="C25" s="53" t="s">
        <v>39</v>
      </c>
      <c r="D25" s="53"/>
      <c r="E25" s="54"/>
      <c r="F25" s="49" t="d">
        <f ca="1">F24+3</f>
        <v>2026-05-17</v>
      </c>
      <c r="G25" s="50">
        <v>14</v>
      </c>
      <c r="H25" s="53"/>
      <c r="I25" s="55" t="str">
        <f t="shared" ca="1" si="10"/>
        <v/>
      </c>
      <c r="J25" s="55" t="str">
        <f t="shared" ca="1" si="10"/>
        <v/>
      </c>
      <c r="K25" s="55" t="str">
        <f t="shared" ca="1" si="10"/>
        <v/>
      </c>
      <c r="L25" s="55" t="str">
        <f t="shared" ca="1" si="10"/>
        <v/>
      </c>
      <c r="M25" s="55" t="str">
        <f t="shared" ca="1" si="10"/>
        <v/>
      </c>
      <c r="N25" s="55" t="str">
        <f t="shared" ca="1" si="10"/>
        <v/>
      </c>
      <c r="O25" s="55" t="str">
        <f t="shared" ca="1" si="10"/>
        <v/>
      </c>
      <c r="P25" s="55" t="str">
        <f t="shared" ca="1" si="10"/>
        <v/>
      </c>
      <c r="Q25" s="55" t="str">
        <f t="shared" ca="1" si="10"/>
        <v/>
      </c>
      <c r="R25" s="55" t="str">
        <f t="shared" ca="1" si="10"/>
        <v/>
      </c>
      <c r="S25" s="55" t="str">
        <f t="shared" ca="1" si="11"/>
        <v/>
      </c>
      <c r="T25" s="55" t="str">
        <f t="shared" ca="1" si="11"/>
        <v/>
      </c>
      <c r="U25" s="55" t="str">
        <f t="shared" ca="1" si="11"/>
        <v/>
      </c>
      <c r="V25" s="55" t="str">
        <f t="shared" ca="1" si="11"/>
        <v/>
      </c>
      <c r="W25" s="55" t="str">
        <f t="shared" ca="1" si="11"/>
        <v/>
      </c>
      <c r="X25" s="55" t="str">
        <f t="shared" ca="1" si="11"/>
        <v/>
      </c>
      <c r="Y25" s="55" t="str">
        <f t="shared" ca="1" si="11"/>
        <v/>
      </c>
      <c r="Z25" s="55" t="str">
        <f t="shared" ca="1" si="11"/>
        <v/>
      </c>
      <c r="AA25" s="55" t="str">
        <f t="shared" ca="1" si="11"/>
        <v/>
      </c>
      <c r="AB25" s="55" t="str">
        <f t="shared" ca="1" si="11"/>
        <v/>
      </c>
      <c r="AC25" s="55" t="str">
        <f t="shared" ca="1" si="12"/>
        <v/>
      </c>
      <c r="AD25" s="55" t="str">
        <f t="shared" ca="1" si="12"/>
        <v/>
      </c>
      <c r="AE25" s="55" t="str">
        <f t="shared" ca="1" si="12"/>
        <v/>
      </c>
      <c r="AF25" s="55" t="str">
        <f t="shared" ca="1" si="12"/>
        <v/>
      </c>
      <c r="AG25" s="55" t="str">
        <f t="shared" ca="1" si="12"/>
        <v/>
      </c>
      <c r="AH25" s="55" t="str">
        <f t="shared" ca="1" si="12"/>
        <v/>
      </c>
      <c r="AI25" s="55" t="str">
        <f t="shared" ca="1" si="12"/>
        <v/>
      </c>
      <c r="AJ25" s="55" t="str">
        <f t="shared" ca="1" si="12"/>
        <v/>
      </c>
      <c r="AK25" s="55" t="str">
        <f t="shared" ca="1" si="12"/>
        <v/>
      </c>
      <c r="AL25" s="55" t="str">
        <f t="shared" ca="1" si="12"/>
        <v/>
      </c>
      <c r="AM25" s="55" t="str">
        <f t="shared" ca="1" si="13"/>
        <v/>
      </c>
      <c r="AN25" s="55" t="str">
        <f t="shared" ca="1" si="13"/>
        <v/>
      </c>
      <c r="AO25" s="55" t="str">
        <f t="shared" ca="1" si="13"/>
        <v/>
      </c>
      <c r="AP25" s="55" t="str">
        <f t="shared" ca="1" si="13"/>
        <v/>
      </c>
      <c r="AQ25" s="55" t="str">
        <f t="shared" ca="1" si="13"/>
        <v/>
      </c>
      <c r="AR25" s="55" t="str">
        <f t="shared" ca="1" si="13"/>
        <v/>
      </c>
      <c r="AS25" s="55" t="str">
        <f t="shared" ca="1" si="13"/>
        <v/>
      </c>
      <c r="AT25" s="55" t="str">
        <f t="shared" ca="1" si="13"/>
        <v/>
      </c>
      <c r="AU25" s="55" t="str">
        <f t="shared" ca="1" si="13"/>
        <v/>
      </c>
      <c r="AV25" s="55" t="str">
        <f t="shared" ca="1" si="13"/>
        <v/>
      </c>
      <c r="AW25" s="55" t="str">
        <f t="shared" ca="1" si="14"/>
        <v/>
      </c>
      <c r="AX25" s="55" t="str">
        <f t="shared" ca="1" si="14"/>
        <v/>
      </c>
      <c r="AY25" s="55" t="str">
        <f t="shared" ca="1" si="14"/>
        <v/>
      </c>
      <c r="AZ25" s="55" t="str">
        <f t="shared" ca="1" si="14"/>
        <v/>
      </c>
      <c r="BA25" s="55" t="str">
        <f t="shared" ca="1" si="14"/>
        <v/>
      </c>
      <c r="BB25" s="55" t="str">
        <f t="shared" ca="1" si="14"/>
        <v/>
      </c>
      <c r="BC25" s="55" t="str">
        <f t="shared" ca="1" si="14"/>
        <v/>
      </c>
      <c r="BD25" s="55" t="str">
        <f t="shared" ca="1" si="14"/>
        <v/>
      </c>
      <c r="BE25" s="55" t="str">
        <f t="shared" ca="1" si="14"/>
        <v/>
      </c>
      <c r="BF25" s="55" t="str">
        <f t="shared" ca="1" si="14"/>
        <v/>
      </c>
      <c r="BG25" s="55" t="str">
        <f t="shared" ca="1" si="15"/>
        <v/>
      </c>
      <c r="BH25" s="55" t="str">
        <f t="shared" ca="1" si="15"/>
        <v/>
      </c>
      <c r="BI25" s="55" t="str">
        <f t="shared" ca="1" si="15"/>
        <v/>
      </c>
      <c r="BJ25" s="55" t="str">
        <f t="shared" ca="1" si="15"/>
        <v/>
      </c>
      <c r="BK25" s="55" t="str">
        <f t="shared" ca="1" si="15"/>
        <v/>
      </c>
      <c r="BL25" s="55" t="str">
        <f t="shared" ca="1" si="15"/>
        <v/>
      </c>
    </row>
    <row r="26" spans="1:64" s="18" customFormat="1" ht="39.75" customHeight="1">
      <c r="A26" s="13"/>
      <c r="B26" s="70" t="s">
        <v>58</v>
      </c>
      <c r="C26" s="53" t="s">
        <v>36</v>
      </c>
      <c r="D26" s="53"/>
      <c r="E26" s="54"/>
      <c r="F26" s="49" t="d">
        <f ca="1">F25+15</f>
        <v>2026-06-01</v>
      </c>
      <c r="G26" s="50">
        <v>6</v>
      </c>
      <c r="H26" s="53"/>
      <c r="I26" s="55" t="str">
        <f t="shared" ca="1" si="10"/>
        <v/>
      </c>
      <c r="J26" s="55" t="str">
        <f t="shared" ca="1" si="10"/>
        <v/>
      </c>
      <c r="K26" s="55" t="str">
        <f t="shared" ca="1" si="10"/>
        <v/>
      </c>
      <c r="L26" s="55" t="str">
        <f t="shared" ca="1" si="10"/>
        <v/>
      </c>
      <c r="M26" s="55" t="str">
        <f t="shared" ca="1" si="10"/>
        <v/>
      </c>
      <c r="N26" s="55" t="str">
        <f t="shared" ca="1" si="10"/>
        <v/>
      </c>
      <c r="O26" s="55" t="str">
        <f t="shared" ca="1" si="10"/>
        <v/>
      </c>
      <c r="P26" s="55" t="str">
        <f t="shared" ca="1" si="10"/>
        <v/>
      </c>
      <c r="Q26" s="55" t="str">
        <f t="shared" ca="1" si="10"/>
        <v/>
      </c>
      <c r="R26" s="55" t="str">
        <f t="shared" ca="1" si="10"/>
        <v/>
      </c>
      <c r="S26" s="55" t="str">
        <f t="shared" ca="1" si="11"/>
        <v/>
      </c>
      <c r="T26" s="55" t="str">
        <f t="shared" ca="1" si="11"/>
        <v/>
      </c>
      <c r="U26" s="55" t="str">
        <f t="shared" ca="1" si="11"/>
        <v/>
      </c>
      <c r="V26" s="55" t="str">
        <f t="shared" ca="1" si="11"/>
        <v/>
      </c>
      <c r="W26" s="55" t="str">
        <f t="shared" ca="1" si="11"/>
        <v/>
      </c>
      <c r="X26" s="55" t="str">
        <f t="shared" ca="1" si="11"/>
        <v/>
      </c>
      <c r="Y26" s="55" t="str">
        <f t="shared" ca="1" si="11"/>
        <v/>
      </c>
      <c r="Z26" s="55" t="str">
        <f t="shared" ca="1" si="11"/>
        <v/>
      </c>
      <c r="AA26" s="55" t="str">
        <f t="shared" ca="1" si="11"/>
        <v/>
      </c>
      <c r="AB26" s="55" t="str">
        <f t="shared" ca="1" si="11"/>
        <v/>
      </c>
      <c r="AC26" s="55" t="str">
        <f t="shared" ca="1" si="12"/>
        <v/>
      </c>
      <c r="AD26" s="55" t="str">
        <f t="shared" ca="1" si="12"/>
        <v/>
      </c>
      <c r="AE26" s="55" t="str">
        <f t="shared" ca="1" si="12"/>
        <v/>
      </c>
      <c r="AF26" s="55" t="str">
        <f t="shared" ca="1" si="12"/>
        <v/>
      </c>
      <c r="AG26" s="55" t="str">
        <f t="shared" ca="1" si="12"/>
        <v/>
      </c>
      <c r="AH26" s="55" t="str">
        <f t="shared" ca="1" si="12"/>
        <v/>
      </c>
      <c r="AI26" s="55" t="str">
        <f t="shared" ca="1" si="12"/>
        <v/>
      </c>
      <c r="AJ26" s="55" t="str">
        <f t="shared" ca="1" si="12"/>
        <v/>
      </c>
      <c r="AK26" s="55" t="str">
        <f t="shared" ca="1" si="12"/>
        <v/>
      </c>
      <c r="AL26" s="55" t="str">
        <f t="shared" ca="1" si="12"/>
        <v/>
      </c>
      <c r="AM26" s="55" t="str">
        <f t="shared" ca="1" si="13"/>
        <v/>
      </c>
      <c r="AN26" s="55" t="str">
        <f t="shared" ca="1" si="13"/>
        <v/>
      </c>
      <c r="AO26" s="55" t="str">
        <f t="shared" ca="1" si="13"/>
        <v/>
      </c>
      <c r="AP26" s="55" t="str">
        <f t="shared" ca="1" si="13"/>
        <v/>
      </c>
      <c r="AQ26" s="55" t="str">
        <f t="shared" ca="1" si="13"/>
        <v/>
      </c>
      <c r="AR26" s="55" t="str">
        <f t="shared" ca="1" si="13"/>
        <v/>
      </c>
      <c r="AS26" s="55" t="str">
        <f t="shared" ca="1" si="13"/>
        <v/>
      </c>
      <c r="AT26" s="55" t="str">
        <f t="shared" ca="1" si="13"/>
        <v/>
      </c>
      <c r="AU26" s="55" t="str">
        <f t="shared" ca="1" si="13"/>
        <v/>
      </c>
      <c r="AV26" s="55" t="str">
        <f t="shared" ca="1" si="13"/>
        <v/>
      </c>
      <c r="AW26" s="55" t="str">
        <f t="shared" ca="1" si="14"/>
        <v/>
      </c>
      <c r="AX26" s="55" t="str">
        <f t="shared" ca="1" si="14"/>
        <v/>
      </c>
      <c r="AY26" s="55" t="str">
        <f t="shared" ca="1" si="14"/>
        <v/>
      </c>
      <c r="AZ26" s="55" t="str">
        <f t="shared" ca="1" si="14"/>
        <v/>
      </c>
      <c r="BA26" s="55" t="str">
        <f t="shared" ca="1" si="14"/>
        <v/>
      </c>
      <c r="BB26" s="55" t="str">
        <f t="shared" ca="1" si="14"/>
        <v/>
      </c>
      <c r="BC26" s="55" t="str">
        <f t="shared" ca="1" si="14"/>
        <v/>
      </c>
      <c r="BD26" s="55" t="str">
        <f t="shared" ca="1" si="14"/>
        <v/>
      </c>
      <c r="BE26" s="55" t="str">
        <f t="shared" ca="1" si="14"/>
        <v/>
      </c>
      <c r="BF26" s="55" t="str">
        <f t="shared" ca="1" si="14"/>
        <v/>
      </c>
      <c r="BG26" s="55" t="str">
        <f t="shared" ca="1" si="15"/>
        <v/>
      </c>
      <c r="BH26" s="55" t="str">
        <f t="shared" ca="1" si="15"/>
        <v/>
      </c>
      <c r="BI26" s="55" t="str">
        <f t="shared" ca="1" si="15"/>
        <v/>
      </c>
      <c r="BJ26" s="55" t="str">
        <f t="shared" ca="1" si="15"/>
        <v/>
      </c>
      <c r="BK26" s="55" t="str">
        <f t="shared" ca="1" si="15"/>
        <v/>
      </c>
      <c r="BL26" s="55" t="str">
        <f t="shared" ca="1" si="15"/>
        <v/>
      </c>
    </row>
    <row r="27" spans="1:64" s="18" customFormat="1" ht="39.75" customHeight="1">
      <c r="A27" s="13"/>
      <c r="B27" s="70" t="s">
        <v>59</v>
      </c>
      <c r="C27" s="53" t="s">
        <v>55</v>
      </c>
      <c r="D27" s="53"/>
      <c r="E27" s="54"/>
      <c r="F27" s="49" t="d">
        <f ca="1">F21+22</f>
        <v>2026-06-05</v>
      </c>
      <c r="G27" s="50">
        <v>3</v>
      </c>
      <c r="H27" s="53"/>
      <c r="I27" s="55" t="str">
        <f t="shared" ca="1" si="10"/>
        <v/>
      </c>
      <c r="J27" s="55" t="str">
        <f t="shared" ca="1" si="10"/>
        <v/>
      </c>
      <c r="K27" s="55" t="str">
        <f t="shared" ca="1" si="10"/>
        <v/>
      </c>
      <c r="L27" s="55" t="str">
        <f t="shared" ca="1" si="10"/>
        <v/>
      </c>
      <c r="M27" s="55" t="str">
        <f t="shared" ca="1" si="10"/>
        <v/>
      </c>
      <c r="N27" s="55" t="str">
        <f t="shared" ca="1" si="10"/>
        <v/>
      </c>
      <c r="O27" s="55" t="str">
        <f t="shared" ca="1" si="10"/>
        <v/>
      </c>
      <c r="P27" s="55" t="str">
        <f t="shared" ca="1" si="10"/>
        <v/>
      </c>
      <c r="Q27" s="55" t="str">
        <f t="shared" ca="1" si="10"/>
        <v/>
      </c>
      <c r="R27" s="55" t="str">
        <f t="shared" ca="1" si="10"/>
        <v/>
      </c>
      <c r="S27" s="55" t="str">
        <f t="shared" ca="1" si="11"/>
        <v/>
      </c>
      <c r="T27" s="55" t="str">
        <f t="shared" ca="1" si="11"/>
        <v/>
      </c>
      <c r="U27" s="55" t="str">
        <f t="shared" ca="1" si="11"/>
        <v/>
      </c>
      <c r="V27" s="55" t="str">
        <f t="shared" ca="1" si="11"/>
        <v/>
      </c>
      <c r="W27" s="55" t="str">
        <f t="shared" ca="1" si="11"/>
        <v/>
      </c>
      <c r="X27" s="55" t="str">
        <f t="shared" ca="1" si="11"/>
        <v/>
      </c>
      <c r="Y27" s="55" t="str">
        <f t="shared" ca="1" si="11"/>
        <v/>
      </c>
      <c r="Z27" s="55" t="str">
        <f t="shared" ca="1" si="11"/>
        <v/>
      </c>
      <c r="AA27" s="55" t="str">
        <f t="shared" ca="1" si="11"/>
        <v/>
      </c>
      <c r="AB27" s="55" t="str">
        <f t="shared" ca="1" si="11"/>
        <v/>
      </c>
      <c r="AC27" s="55" t="str">
        <f t="shared" ca="1" si="12"/>
        <v/>
      </c>
      <c r="AD27" s="55" t="str">
        <f t="shared" ca="1" si="12"/>
        <v/>
      </c>
      <c r="AE27" s="55" t="str">
        <f t="shared" ca="1" si="12"/>
        <v/>
      </c>
      <c r="AF27" s="55" t="str">
        <f t="shared" ca="1" si="12"/>
        <v/>
      </c>
      <c r="AG27" s="55" t="str">
        <f t="shared" ca="1" si="12"/>
        <v/>
      </c>
      <c r="AH27" s="55" t="str">
        <f t="shared" ca="1" si="12"/>
        <v/>
      </c>
      <c r="AI27" s="55" t="str">
        <f t="shared" ca="1" si="12"/>
        <v/>
      </c>
      <c r="AJ27" s="55" t="str">
        <f t="shared" ca="1" si="12"/>
        <v/>
      </c>
      <c r="AK27" s="55" t="str">
        <f t="shared" ca="1" si="12"/>
        <v/>
      </c>
      <c r="AL27" s="55" t="str">
        <f t="shared" ca="1" si="12"/>
        <v/>
      </c>
      <c r="AM27" s="55" t="str">
        <f t="shared" ca="1" si="13"/>
        <v/>
      </c>
      <c r="AN27" s="55" t="str">
        <f t="shared" ca="1" si="13"/>
        <v/>
      </c>
      <c r="AO27" s="55" t="str">
        <f t="shared" ca="1" si="13"/>
        <v/>
      </c>
      <c r="AP27" s="55" t="str">
        <f t="shared" ca="1" si="13"/>
        <v/>
      </c>
      <c r="AQ27" s="55" t="str">
        <f t="shared" ca="1" si="13"/>
        <v/>
      </c>
      <c r="AR27" s="55" t="str">
        <f t="shared" ca="1" si="13"/>
        <v/>
      </c>
      <c r="AS27" s="55" t="str">
        <f t="shared" ca="1" si="13"/>
        <v/>
      </c>
      <c r="AT27" s="55" t="str">
        <f t="shared" ca="1" si="13"/>
        <v/>
      </c>
      <c r="AU27" s="55" t="str">
        <f t="shared" ca="1" si="13"/>
        <v/>
      </c>
      <c r="AV27" s="55">
        <f t="shared" ca="1" si="13"/>
        <v>2</v>
      </c>
      <c r="AW27" s="55">
        <f t="shared" ca="1" si="14"/>
        <v>2</v>
      </c>
      <c r="AX27" s="55">
        <f t="shared" ca="1" si="14"/>
        <v>2</v>
      </c>
      <c r="AY27" s="55" t="str">
        <f t="shared" ca="1" si="14"/>
        <v/>
      </c>
      <c r="AZ27" s="55" t="str">
        <f t="shared" ca="1" si="14"/>
        <v/>
      </c>
      <c r="BA27" s="55" t="str">
        <f t="shared" ca="1" si="14"/>
        <v/>
      </c>
      <c r="BB27" s="55" t="str">
        <f t="shared" ca="1" si="14"/>
        <v/>
      </c>
      <c r="BC27" s="55" t="str">
        <f t="shared" ca="1" si="14"/>
        <v/>
      </c>
      <c r="BD27" s="55" t="str">
        <f t="shared" ca="1" si="14"/>
        <v/>
      </c>
      <c r="BE27" s="55" t="str">
        <f t="shared" ca="1" si="14"/>
        <v/>
      </c>
      <c r="BF27" s="55" t="str">
        <f t="shared" ca="1" si="14"/>
        <v/>
      </c>
      <c r="BG27" s="55" t="str">
        <f t="shared" ca="1" si="15"/>
        <v/>
      </c>
      <c r="BH27" s="55" t="str">
        <f t="shared" ca="1" si="15"/>
        <v/>
      </c>
      <c r="BI27" s="55" t="str">
        <f t="shared" ca="1" si="15"/>
        <v/>
      </c>
      <c r="BJ27" s="55" t="str">
        <f t="shared" ca="1" si="15"/>
        <v/>
      </c>
      <c r="BK27" s="55" t="str">
        <f t="shared" ca="1" si="15"/>
        <v/>
      </c>
      <c r="BL27" s="55" t="str">
        <f t="shared" ca="1" si="15"/>
        <v/>
      </c>
    </row>
    <row r="28" spans="1:64" s="18" customFormat="1" ht="39.75" customHeight="1">
      <c r="A28" s="13"/>
      <c r="B28" s="70" t="s">
        <v>41</v>
      </c>
      <c r="C28" s="53" t="s">
        <v>33</v>
      </c>
      <c r="D28" s="53"/>
      <c r="E28" s="54"/>
      <c r="F28" s="49" t="d">
        <f ca="1">F16</f>
        <v>2026-05-05</v>
      </c>
      <c r="G28" s="50">
        <v>19</v>
      </c>
      <c r="H28" s="53"/>
      <c r="I28" s="55" t="str">
        <f t="shared" ca="1" si="10"/>
        <v/>
      </c>
      <c r="J28" s="55" t="str">
        <f t="shared" ca="1" si="10"/>
        <v/>
      </c>
      <c r="K28" s="55" t="str">
        <f t="shared" ca="1" si="10"/>
        <v/>
      </c>
      <c r="L28" s="55" t="str">
        <f t="shared" ca="1" si="10"/>
        <v/>
      </c>
      <c r="M28" s="55" t="str">
        <f t="shared" ca="1" si="10"/>
        <v/>
      </c>
      <c r="N28" s="55" t="str">
        <f t="shared" ca="1" si="10"/>
        <v/>
      </c>
      <c r="O28" s="55" t="str">
        <f t="shared" ca="1" si="10"/>
        <v/>
      </c>
      <c r="P28" s="55" t="str">
        <f t="shared" ca="1" si="10"/>
        <v/>
      </c>
      <c r="Q28" s="55" t="str">
        <f t="shared" ca="1" si="10"/>
        <v/>
      </c>
      <c r="R28" s="55" t="str">
        <f t="shared" ca="1" si="10"/>
        <v/>
      </c>
      <c r="S28" s="55" t="str">
        <f t="shared" ca="1" si="11"/>
        <v/>
      </c>
      <c r="T28" s="55" t="str">
        <f t="shared" ca="1" si="11"/>
        <v/>
      </c>
      <c r="U28" s="55" t="str">
        <f t="shared" ca="1" si="11"/>
        <v/>
      </c>
      <c r="V28" s="55" t="str">
        <f t="shared" ca="1" si="11"/>
        <v/>
      </c>
      <c r="W28" s="55" t="str">
        <f t="shared" ca="1" si="11"/>
        <v/>
      </c>
      <c r="X28" s="55" t="str">
        <f t="shared" ca="1" si="11"/>
        <v/>
      </c>
      <c r="Y28" s="55" t="str">
        <f t="shared" ca="1" si="11"/>
        <v/>
      </c>
      <c r="Z28" s="55" t="str">
        <f t="shared" ca="1" si="11"/>
        <v/>
      </c>
      <c r="AA28" s="55" t="str">
        <f t="shared" ca="1" si="11"/>
        <v/>
      </c>
      <c r="AB28" s="55" t="str">
        <f t="shared" ca="1" si="11"/>
        <v/>
      </c>
      <c r="AC28" s="55" t="str">
        <f t="shared" ca="1" si="12"/>
        <v/>
      </c>
      <c r="AD28" s="55" t="str">
        <f t="shared" ca="1" si="12"/>
        <v/>
      </c>
      <c r="AE28" s="55" t="str">
        <f t="shared" ca="1" si="12"/>
        <v/>
      </c>
      <c r="AF28" s="55" t="str">
        <f t="shared" ca="1" si="12"/>
        <v/>
      </c>
      <c r="AG28" s="55" t="str">
        <f t="shared" ca="1" si="12"/>
        <v/>
      </c>
      <c r="AH28" s="55" t="str">
        <f t="shared" ca="1" si="12"/>
        <v/>
      </c>
      <c r="AI28" s="55" t="str">
        <f t="shared" ca="1" si="12"/>
        <v/>
      </c>
      <c r="AJ28" s="55" t="str">
        <f t="shared" ca="1" si="12"/>
        <v/>
      </c>
      <c r="AK28" s="55" t="str">
        <f t="shared" ca="1" si="12"/>
        <v/>
      </c>
      <c r="AL28" s="55" t="str">
        <f t="shared" ca="1" si="12"/>
        <v/>
      </c>
      <c r="AM28" s="55" t="str">
        <f t="shared" ca="1" si="13"/>
        <v/>
      </c>
      <c r="AN28" s="55" t="str">
        <f t="shared" ca="1" si="13"/>
        <v/>
      </c>
      <c r="AO28" s="55" t="str">
        <f t="shared" ca="1" si="13"/>
        <v/>
      </c>
      <c r="AP28" s="55" t="str">
        <f t="shared" ca="1" si="13"/>
        <v/>
      </c>
      <c r="AQ28" s="55" t="str">
        <f t="shared" ca="1" si="13"/>
        <v/>
      </c>
      <c r="AR28" s="55" t="str">
        <f t="shared" ca="1" si="13"/>
        <v/>
      </c>
      <c r="AS28" s="55" t="str">
        <f t="shared" ca="1" si="13"/>
        <v/>
      </c>
      <c r="AT28" s="55" t="str">
        <f t="shared" ca="1" si="13"/>
        <v/>
      </c>
      <c r="AU28" s="55" t="str">
        <f t="shared" ca="1" si="13"/>
        <v/>
      </c>
      <c r="AV28" s="55" t="str">
        <f t="shared" ca="1" si="13"/>
        <v/>
      </c>
      <c r="AW28" s="55" t="str">
        <f t="shared" ca="1" si="14"/>
        <v/>
      </c>
      <c r="AX28" s="55" t="str">
        <f t="shared" ca="1" si="14"/>
        <v/>
      </c>
      <c r="AY28" s="55" t="str">
        <f t="shared" ca="1" si="14"/>
        <v/>
      </c>
      <c r="AZ28" s="55" t="str">
        <f t="shared" ca="1" si="14"/>
        <v/>
      </c>
      <c r="BA28" s="55" t="str">
        <f t="shared" ca="1" si="14"/>
        <v/>
      </c>
      <c r="BB28" s="55" t="str">
        <f t="shared" ca="1" si="14"/>
        <v/>
      </c>
      <c r="BC28" s="55" t="str">
        <f t="shared" ca="1" si="14"/>
        <v/>
      </c>
      <c r="BD28" s="55" t="str">
        <f t="shared" ca="1" si="14"/>
        <v/>
      </c>
      <c r="BE28" s="55" t="str">
        <f t="shared" ca="1" si="14"/>
        <v/>
      </c>
      <c r="BF28" s="55" t="str">
        <f t="shared" ca="1" si="14"/>
        <v/>
      </c>
      <c r="BG28" s="55" t="str">
        <f t="shared" ca="1" si="15"/>
        <v/>
      </c>
      <c r="BH28" s="55" t="str">
        <f t="shared" ca="1" si="15"/>
        <v/>
      </c>
      <c r="BI28" s="55" t="str">
        <f t="shared" ca="1" si="15"/>
        <v/>
      </c>
      <c r="BJ28" s="55" t="str">
        <f t="shared" ca="1" si="15"/>
        <v/>
      </c>
      <c r="BK28" s="55" t="str">
        <f t="shared" ca="1" si="15"/>
        <v/>
      </c>
      <c r="BL28" s="55" t="str">
        <f t="shared" ca="1" si="15"/>
        <v/>
      </c>
    </row>
    <row r="29" spans="1:64" s="18" customFormat="1" ht="39.75" customHeight="1">
      <c r="A29" s="13"/>
      <c r="B29" s="139" t="s">
        <v>63</v>
      </c>
      <c r="C29" s="53"/>
      <c r="D29" s="53"/>
      <c r="E29" s="54"/>
      <c r="F29" s="49"/>
      <c r="G29" s="50"/>
      <c r="H29" s="53"/>
      <c r="I29" s="55" t="str">
        <f t="shared" ca="1" si="10"/>
        <v/>
      </c>
      <c r="J29" s="55" t="str">
        <f t="shared" ca="1" si="10"/>
        <v/>
      </c>
      <c r="K29" s="55" t="str">
        <f t="shared" ca="1" si="10"/>
        <v/>
      </c>
      <c r="L29" s="55" t="str">
        <f t="shared" ca="1" si="10"/>
        <v/>
      </c>
      <c r="M29" s="55" t="str">
        <f t="shared" ca="1" si="10"/>
        <v/>
      </c>
      <c r="N29" s="55" t="str">
        <f t="shared" ca="1" si="10"/>
        <v/>
      </c>
      <c r="O29" s="55" t="str">
        <f t="shared" ca="1" si="10"/>
        <v/>
      </c>
      <c r="P29" s="55" t="str">
        <f t="shared" ca="1" si="10"/>
        <v/>
      </c>
      <c r="Q29" s="55" t="str">
        <f t="shared" ca="1" si="10"/>
        <v/>
      </c>
      <c r="R29" s="55" t="str">
        <f t="shared" ca="1" si="10"/>
        <v/>
      </c>
      <c r="S29" s="55" t="str">
        <f t="shared" ca="1" si="11"/>
        <v/>
      </c>
      <c r="T29" s="55" t="str">
        <f t="shared" ca="1" si="11"/>
        <v/>
      </c>
      <c r="U29" s="55" t="str">
        <f t="shared" ca="1" si="11"/>
        <v/>
      </c>
      <c r="V29" s="55" t="str">
        <f t="shared" ca="1" si="11"/>
        <v/>
      </c>
      <c r="W29" s="55" t="str">
        <f t="shared" ca="1" si="11"/>
        <v/>
      </c>
      <c r="X29" s="55" t="str">
        <f t="shared" ca="1" si="11"/>
        <v/>
      </c>
      <c r="Y29" s="55" t="str">
        <f t="shared" ca="1" si="11"/>
        <v/>
      </c>
      <c r="Z29" s="55" t="str">
        <f t="shared" ca="1" si="11"/>
        <v/>
      </c>
      <c r="AA29" s="55" t="str">
        <f t="shared" ca="1" si="11"/>
        <v/>
      </c>
      <c r="AB29" s="55" t="str">
        <f t="shared" ca="1" si="11"/>
        <v/>
      </c>
      <c r="AC29" s="55" t="str">
        <f t="shared" ca="1" si="12"/>
        <v/>
      </c>
      <c r="AD29" s="55" t="str">
        <f t="shared" ca="1" si="12"/>
        <v/>
      </c>
      <c r="AE29" s="55" t="str">
        <f t="shared" ca="1" si="12"/>
        <v/>
      </c>
      <c r="AF29" s="55" t="str">
        <f t="shared" ca="1" si="12"/>
        <v/>
      </c>
      <c r="AG29" s="55" t="str">
        <f t="shared" ca="1" si="12"/>
        <v/>
      </c>
      <c r="AH29" s="55" t="str">
        <f t="shared" ca="1" si="12"/>
        <v/>
      </c>
      <c r="AI29" s="55" t="str">
        <f t="shared" ca="1" si="12"/>
        <v/>
      </c>
      <c r="AJ29" s="55" t="str">
        <f t="shared" ca="1" si="12"/>
        <v/>
      </c>
      <c r="AK29" s="55" t="str">
        <f t="shared" ca="1" si="12"/>
        <v/>
      </c>
      <c r="AL29" s="55" t="str">
        <f t="shared" ca="1" si="12"/>
        <v/>
      </c>
      <c r="AM29" s="55" t="str">
        <f t="shared" ca="1" si="13"/>
        <v/>
      </c>
      <c r="AN29" s="55" t="str">
        <f t="shared" ca="1" si="13"/>
        <v/>
      </c>
      <c r="AO29" s="55" t="str">
        <f t="shared" ca="1" si="13"/>
        <v/>
      </c>
      <c r="AP29" s="55" t="str">
        <f t="shared" ca="1" si="13"/>
        <v/>
      </c>
      <c r="AQ29" s="55" t="str">
        <f t="shared" ca="1" si="13"/>
        <v/>
      </c>
      <c r="AR29" s="55" t="str">
        <f t="shared" ca="1" si="13"/>
        <v/>
      </c>
      <c r="AS29" s="55" t="str">
        <f t="shared" ca="1" si="13"/>
        <v/>
      </c>
      <c r="AT29" s="55" t="str">
        <f t="shared" ca="1" si="13"/>
        <v/>
      </c>
      <c r="AU29" s="55" t="str">
        <f t="shared" ca="1" si="13"/>
        <v/>
      </c>
      <c r="AV29" s="55" t="str">
        <f t="shared" ca="1" si="13"/>
        <v/>
      </c>
      <c r="AW29" s="55" t="str">
        <f t="shared" ca="1" si="14"/>
        <v/>
      </c>
      <c r="AX29" s="55" t="str">
        <f t="shared" ca="1" si="14"/>
        <v/>
      </c>
      <c r="AY29" s="55" t="str">
        <f t="shared" ca="1" si="14"/>
        <v/>
      </c>
      <c r="AZ29" s="55" t="str">
        <f t="shared" ca="1" si="14"/>
        <v/>
      </c>
      <c r="BA29" s="55" t="str">
        <f t="shared" ca="1" si="14"/>
        <v/>
      </c>
      <c r="BB29" s="55" t="str">
        <f t="shared" ca="1" si="14"/>
        <v/>
      </c>
      <c r="BC29" s="55" t="str">
        <f t="shared" ca="1" si="14"/>
        <v/>
      </c>
      <c r="BD29" s="55" t="str">
        <f t="shared" ca="1" si="14"/>
        <v/>
      </c>
      <c r="BE29" s="55" t="str">
        <f t="shared" ca="1" si="14"/>
        <v/>
      </c>
      <c r="BF29" s="55" t="str">
        <f t="shared" ca="1" si="14"/>
        <v/>
      </c>
      <c r="BG29" s="55" t="str">
        <f t="shared" ca="1" si="15"/>
        <v/>
      </c>
      <c r="BH29" s="55" t="str">
        <f t="shared" ca="1" si="15"/>
        <v/>
      </c>
      <c r="BI29" s="55" t="str">
        <f t="shared" ca="1" si="15"/>
        <v/>
      </c>
      <c r="BJ29" s="55" t="str">
        <f t="shared" ca="1" si="15"/>
        <v/>
      </c>
      <c r="BK29" s="55" t="str">
        <f t="shared" ca="1" si="15"/>
        <v/>
      </c>
      <c r="BL29" s="55" t="str">
        <f t="shared" ca="1" si="15"/>
        <v/>
      </c>
    </row>
    <row r="30" spans="1:64" s="18" customFormat="1" ht="39.75" customHeight="1">
      <c r="A30" s="13"/>
      <c r="B30" s="70" t="s">
        <v>54</v>
      </c>
      <c r="C30" s="53"/>
      <c r="D30" s="53"/>
      <c r="E30" s="54"/>
      <c r="F30" s="49" t="d">
        <f ca="1">F27+3</f>
        <v>2026-06-08</v>
      </c>
      <c r="G30" s="50">
        <v>15</v>
      </c>
      <c r="H30" s="53"/>
      <c r="I30" s="55" t="str">
        <f t="shared" ca="1" si="10"/>
        <v/>
      </c>
      <c r="J30" s="55" t="str">
        <f t="shared" ca="1" si="10"/>
        <v/>
      </c>
      <c r="K30" s="55" t="str">
        <f t="shared" ca="1" si="10"/>
        <v/>
      </c>
      <c r="L30" s="55" t="str">
        <f t="shared" ca="1" si="10"/>
        <v/>
      </c>
      <c r="M30" s="55" t="str">
        <f t="shared" ca="1" si="10"/>
        <v/>
      </c>
      <c r="N30" s="55" t="str">
        <f t="shared" ca="1" si="10"/>
        <v/>
      </c>
      <c r="O30" s="55" t="str">
        <f t="shared" ca="1" si="10"/>
        <v/>
      </c>
      <c r="P30" s="55" t="str">
        <f t="shared" ca="1" si="10"/>
        <v/>
      </c>
      <c r="Q30" s="55" t="str">
        <f t="shared" ca="1" si="10"/>
        <v/>
      </c>
      <c r="R30" s="55" t="str">
        <f t="shared" ca="1" si="10"/>
        <v/>
      </c>
      <c r="S30" s="55" t="str">
        <f t="shared" ca="1" si="11"/>
        <v/>
      </c>
      <c r="T30" s="55" t="str">
        <f t="shared" ca="1" si="11"/>
        <v/>
      </c>
      <c r="U30" s="55" t="str">
        <f t="shared" ca="1" si="11"/>
        <v/>
      </c>
      <c r="V30" s="55" t="str">
        <f t="shared" ca="1" si="11"/>
        <v/>
      </c>
      <c r="W30" s="55" t="str">
        <f t="shared" ca="1" si="11"/>
        <v/>
      </c>
      <c r="X30" s="55" t="str">
        <f t="shared" ca="1" si="11"/>
        <v/>
      </c>
      <c r="Y30" s="55" t="str">
        <f t="shared" ca="1" si="11"/>
        <v/>
      </c>
      <c r="Z30" s="55" t="str">
        <f t="shared" ca="1" si="11"/>
        <v/>
      </c>
      <c r="AA30" s="55" t="str">
        <f t="shared" ca="1" si="11"/>
        <v/>
      </c>
      <c r="AB30" s="55" t="str">
        <f t="shared" ca="1" si="11"/>
        <v/>
      </c>
      <c r="AC30" s="55" t="str">
        <f t="shared" ca="1" si="12"/>
        <v/>
      </c>
      <c r="AD30" s="55" t="str">
        <f t="shared" ca="1" si="12"/>
        <v/>
      </c>
      <c r="AE30" s="55" t="str">
        <f t="shared" ca="1" si="12"/>
        <v/>
      </c>
      <c r="AF30" s="55" t="str">
        <f t="shared" ca="1" si="12"/>
        <v/>
      </c>
      <c r="AG30" s="55" t="str">
        <f t="shared" ca="1" si="12"/>
        <v/>
      </c>
      <c r="AH30" s="55" t="str">
        <f t="shared" ca="1" si="12"/>
        <v/>
      </c>
      <c r="AI30" s="55" t="str">
        <f t="shared" ca="1" si="12"/>
        <v/>
      </c>
      <c r="AJ30" s="55" t="str">
        <f t="shared" ca="1" si="12"/>
        <v/>
      </c>
      <c r="AK30" s="55" t="str">
        <f t="shared" ca="1" si="12"/>
        <v/>
      </c>
      <c r="AL30" s="55" t="str">
        <f t="shared" ca="1" si="12"/>
        <v/>
      </c>
      <c r="AM30" s="55" t="str">
        <f t="shared" ca="1" si="13"/>
        <v/>
      </c>
      <c r="AN30" s="55" t="str">
        <f t="shared" ca="1" si="13"/>
        <v/>
      </c>
      <c r="AO30" s="55" t="str">
        <f t="shared" ca="1" si="13"/>
        <v/>
      </c>
      <c r="AP30" s="55" t="str">
        <f t="shared" ca="1" si="13"/>
        <v/>
      </c>
      <c r="AQ30" s="55" t="str">
        <f t="shared" ca="1" si="13"/>
        <v/>
      </c>
      <c r="AR30" s="55" t="str">
        <f t="shared" ca="1" si="13"/>
        <v/>
      </c>
      <c r="AS30" s="55" t="str">
        <f t="shared" ca="1" si="13"/>
        <v/>
      </c>
      <c r="AT30" s="55" t="str">
        <f t="shared" ca="1" si="13"/>
        <v/>
      </c>
      <c r="AU30" s="55" t="str">
        <f t="shared" ca="1" si="13"/>
        <v/>
      </c>
      <c r="AV30" s="55" t="str">
        <f t="shared" ca="1" si="13"/>
        <v/>
      </c>
      <c r="AW30" s="55" t="str">
        <f t="shared" ca="1" si="14"/>
        <v/>
      </c>
      <c r="AX30" s="55" t="str">
        <f t="shared" ca="1" si="14"/>
        <v/>
      </c>
      <c r="AY30" s="55" t="str">
        <f t="shared" ca="1" si="14"/>
        <v/>
      </c>
      <c r="AZ30" s="55" t="str">
        <f t="shared" ca="1" si="14"/>
        <v/>
      </c>
      <c r="BA30" s="55" t="str">
        <f t="shared" ca="1" si="14"/>
        <v/>
      </c>
      <c r="BB30" s="55" t="str">
        <f t="shared" ca="1" si="14"/>
        <v/>
      </c>
      <c r="BC30" s="55" t="str">
        <f t="shared" ca="1" si="14"/>
        <v/>
      </c>
      <c r="BD30" s="55" t="str">
        <f t="shared" ca="1" si="14"/>
        <v/>
      </c>
      <c r="BE30" s="55" t="str">
        <f t="shared" ca="1" si="14"/>
        <v/>
      </c>
      <c r="BF30" s="55" t="str">
        <f t="shared" ca="1" si="14"/>
        <v/>
      </c>
      <c r="BG30" s="55" t="str">
        <f t="shared" ca="1" si="15"/>
        <v/>
      </c>
      <c r="BH30" s="55" t="str">
        <f t="shared" ca="1" si="15"/>
        <v/>
      </c>
      <c r="BI30" s="55" t="str">
        <f t="shared" ca="1" si="15"/>
        <v/>
      </c>
      <c r="BJ30" s="55" t="str">
        <f t="shared" ca="1" si="15"/>
        <v/>
      </c>
      <c r="BK30" s="55" t="str">
        <f t="shared" ca="1" si="15"/>
        <v/>
      </c>
      <c r="BL30" s="55" t="str">
        <f t="shared" ca="1" si="15"/>
        <v/>
      </c>
    </row>
    <row r="31" spans="1:64" s="18" customFormat="1" ht="39.75" customHeight="1">
      <c r="A31" s="13"/>
      <c r="B31" s="70" t="s">
        <v>57</v>
      </c>
      <c r="C31" s="53"/>
      <c r="D31" s="53"/>
      <c r="E31" s="54"/>
      <c r="F31" s="49" t="d">
        <f ca="1">F30+14</f>
        <v>2026-06-22</v>
      </c>
      <c r="G31" s="50">
        <v>5</v>
      </c>
      <c r="H31" s="53"/>
      <c r="I31" s="55" t="str">
        <f t="shared" ca="1" si="10"/>
        <v/>
      </c>
      <c r="J31" s="55" t="str">
        <f t="shared" ca="1" si="10"/>
        <v/>
      </c>
      <c r="K31" s="55" t="str">
        <f t="shared" ca="1" si="10"/>
        <v/>
      </c>
      <c r="L31" s="55" t="str">
        <f t="shared" ca="1" si="10"/>
        <v/>
      </c>
      <c r="M31" s="55" t="str">
        <f t="shared" ca="1" si="10"/>
        <v/>
      </c>
      <c r="N31" s="55" t="str">
        <f t="shared" ca="1" si="10"/>
        <v/>
      </c>
      <c r="O31" s="55" t="str">
        <f t="shared" ca="1" si="10"/>
        <v/>
      </c>
      <c r="P31" s="55" t="str">
        <f t="shared" ca="1" si="10"/>
        <v/>
      </c>
      <c r="Q31" s="55" t="str">
        <f t="shared" ca="1" si="10"/>
        <v/>
      </c>
      <c r="R31" s="55" t="str">
        <f t="shared" ca="1" si="10"/>
        <v/>
      </c>
      <c r="S31" s="55" t="str">
        <f t="shared" ca="1" si="11"/>
        <v/>
      </c>
      <c r="T31" s="55" t="str">
        <f t="shared" ca="1" si="11"/>
        <v/>
      </c>
      <c r="U31" s="55" t="str">
        <f t="shared" ca="1" si="11"/>
        <v/>
      </c>
      <c r="V31" s="55" t="str">
        <f t="shared" ca="1" si="11"/>
        <v/>
      </c>
      <c r="W31" s="55" t="str">
        <f t="shared" ca="1" si="11"/>
        <v/>
      </c>
      <c r="X31" s="55" t="str">
        <f t="shared" ca="1" si="11"/>
        <v/>
      </c>
      <c r="Y31" s="55" t="str">
        <f t="shared" ca="1" si="11"/>
        <v/>
      </c>
      <c r="Z31" s="55" t="str">
        <f t="shared" ca="1" si="11"/>
        <v/>
      </c>
      <c r="AA31" s="55" t="str">
        <f t="shared" ca="1" si="11"/>
        <v/>
      </c>
      <c r="AB31" s="55" t="str">
        <f t="shared" ca="1" si="11"/>
        <v/>
      </c>
      <c r="AC31" s="55" t="str">
        <f t="shared" ca="1" si="12"/>
        <v/>
      </c>
      <c r="AD31" s="55" t="str">
        <f t="shared" ca="1" si="12"/>
        <v/>
      </c>
      <c r="AE31" s="55" t="str">
        <f t="shared" ca="1" si="12"/>
        <v/>
      </c>
      <c r="AF31" s="55" t="str">
        <f t="shared" ca="1" si="12"/>
        <v/>
      </c>
      <c r="AG31" s="55" t="str">
        <f t="shared" ca="1" si="12"/>
        <v/>
      </c>
      <c r="AH31" s="55" t="str">
        <f t="shared" ca="1" si="12"/>
        <v/>
      </c>
      <c r="AI31" s="55" t="str">
        <f t="shared" ca="1" si="12"/>
        <v/>
      </c>
      <c r="AJ31" s="55" t="str">
        <f t="shared" ca="1" si="12"/>
        <v/>
      </c>
      <c r="AK31" s="55" t="str">
        <f t="shared" ca="1" si="12"/>
        <v/>
      </c>
      <c r="AL31" s="55" t="str">
        <f t="shared" ca="1" si="12"/>
        <v/>
      </c>
      <c r="AM31" s="55" t="str">
        <f t="shared" ca="1" si="13"/>
        <v/>
      </c>
      <c r="AN31" s="55" t="str">
        <f t="shared" ca="1" si="13"/>
        <v/>
      </c>
      <c r="AO31" s="55" t="str">
        <f t="shared" ca="1" si="13"/>
        <v/>
      </c>
      <c r="AP31" s="55" t="str">
        <f t="shared" ca="1" si="13"/>
        <v/>
      </c>
      <c r="AQ31" s="55" t="str">
        <f t="shared" ca="1" si="13"/>
        <v/>
      </c>
      <c r="AR31" s="55" t="str">
        <f t="shared" ca="1" si="13"/>
        <v/>
      </c>
      <c r="AS31" s="55" t="str">
        <f t="shared" ca="1" si="13"/>
        <v/>
      </c>
      <c r="AT31" s="55" t="str">
        <f t="shared" ca="1" si="13"/>
        <v/>
      </c>
      <c r="AU31" s="55" t="str">
        <f t="shared" ca="1" si="13"/>
        <v/>
      </c>
      <c r="AV31" s="55" t="str">
        <f t="shared" ca="1" si="13"/>
        <v/>
      </c>
      <c r="AW31" s="55" t="str">
        <f t="shared" ca="1" si="14"/>
        <v/>
      </c>
      <c r="AX31" s="55" t="str">
        <f t="shared" ca="1" si="14"/>
        <v/>
      </c>
      <c r="AY31" s="55" t="str">
        <f t="shared" ca="1" si="14"/>
        <v/>
      </c>
      <c r="AZ31" s="55" t="str">
        <f t="shared" ca="1" si="14"/>
        <v/>
      </c>
      <c r="BA31" s="55" t="str">
        <f t="shared" ca="1" si="14"/>
        <v/>
      </c>
      <c r="BB31" s="55" t="str">
        <f t="shared" ca="1" si="14"/>
        <v/>
      </c>
      <c r="BC31" s="55" t="str">
        <f t="shared" ca="1" si="14"/>
        <v/>
      </c>
      <c r="BD31" s="55" t="str">
        <f t="shared" ca="1" si="14"/>
        <v/>
      </c>
      <c r="BE31" s="55" t="str">
        <f t="shared" ca="1" si="14"/>
        <v/>
      </c>
      <c r="BF31" s="55" t="str">
        <f t="shared" ca="1" si="14"/>
        <v/>
      </c>
      <c r="BG31" s="55" t="str">
        <f t="shared" ca="1" si="15"/>
        <v/>
      </c>
      <c r="BH31" s="55" t="str">
        <f t="shared" ca="1" si="15"/>
        <v/>
      </c>
      <c r="BI31" s="55" t="str">
        <f t="shared" ca="1" si="15"/>
        <v/>
      </c>
      <c r="BJ31" s="55" t="str">
        <f t="shared" ca="1" si="15"/>
        <v/>
      </c>
      <c r="BK31" s="55" t="str">
        <f t="shared" ca="1" si="15"/>
        <v/>
      </c>
      <c r="BL31" s="55" t="str">
        <f t="shared" ca="1" si="15"/>
        <v/>
      </c>
    </row>
    <row r="32" spans="1:64" s="18" customFormat="1" ht="39.75" customHeight="1">
      <c r="A32" s="13"/>
      <c r="B32" s="70" t="s">
        <v>58</v>
      </c>
      <c r="C32" s="53" t="s">
        <v>46</v>
      </c>
      <c r="D32" s="53"/>
      <c r="E32" s="54"/>
      <c r="F32" s="49" t="d">
        <f ca="1">F31+42</f>
        <v>2026-08-03</v>
      </c>
      <c r="G32" s="50">
        <v>1</v>
      </c>
      <c r="H32" s="53"/>
      <c r="I32" s="55" t="str">
        <f t="shared" ca="1" si="10"/>
        <v/>
      </c>
      <c r="J32" s="55" t="str">
        <f t="shared" ca="1" si="10"/>
        <v/>
      </c>
      <c r="K32" s="55" t="str">
        <f t="shared" ca="1" si="10"/>
        <v/>
      </c>
      <c r="L32" s="55" t="str">
        <f t="shared" ca="1" si="10"/>
        <v/>
      </c>
      <c r="M32" s="55" t="str">
        <f t="shared" ca="1" si="10"/>
        <v/>
      </c>
      <c r="N32" s="55" t="str">
        <f t="shared" ca="1" si="10"/>
        <v/>
      </c>
      <c r="O32" s="55" t="str">
        <f t="shared" ca="1" si="10"/>
        <v/>
      </c>
      <c r="P32" s="55" t="str">
        <f t="shared" ca="1" si="10"/>
        <v/>
      </c>
      <c r="Q32" s="55" t="str">
        <f t="shared" ca="1" si="10"/>
        <v/>
      </c>
      <c r="R32" s="55" t="str">
        <f t="shared" ca="1" si="10"/>
        <v/>
      </c>
      <c r="S32" s="55" t="str">
        <f t="shared" ca="1" si="11"/>
        <v/>
      </c>
      <c r="T32" s="55" t="str">
        <f t="shared" ca="1" si="11"/>
        <v/>
      </c>
      <c r="U32" s="55" t="str">
        <f t="shared" ca="1" si="11"/>
        <v/>
      </c>
      <c r="V32" s="55" t="str">
        <f t="shared" ca="1" si="11"/>
        <v/>
      </c>
      <c r="W32" s="55" t="str">
        <f t="shared" ca="1" si="11"/>
        <v/>
      </c>
      <c r="X32" s="55" t="str">
        <f t="shared" ca="1" si="11"/>
        <v/>
      </c>
      <c r="Y32" s="55" t="str">
        <f t="shared" ca="1" si="11"/>
        <v/>
      </c>
      <c r="Z32" s="55" t="str">
        <f t="shared" ca="1" si="11"/>
        <v/>
      </c>
      <c r="AA32" s="55" t="str">
        <f t="shared" ca="1" si="11"/>
        <v/>
      </c>
      <c r="AB32" s="55" t="str">
        <f t="shared" ca="1" si="11"/>
        <v/>
      </c>
      <c r="AC32" s="55" t="str">
        <f t="shared" ca="1" si="12"/>
        <v/>
      </c>
      <c r="AD32" s="55" t="str">
        <f t="shared" ca="1" si="12"/>
        <v/>
      </c>
      <c r="AE32" s="55" t="str">
        <f t="shared" ca="1" si="12"/>
        <v/>
      </c>
      <c r="AF32" s="55" t="str">
        <f t="shared" ca="1" si="12"/>
        <v/>
      </c>
      <c r="AG32" s="55" t="str">
        <f t="shared" ca="1" si="12"/>
        <v/>
      </c>
      <c r="AH32" s="55" t="str">
        <f t="shared" ca="1" si="12"/>
        <v/>
      </c>
      <c r="AI32" s="55" t="str">
        <f t="shared" ca="1" si="12"/>
        <v/>
      </c>
      <c r="AJ32" s="55" t="str">
        <f t="shared" ca="1" si="12"/>
        <v/>
      </c>
      <c r="AK32" s="55" t="str">
        <f t="shared" ca="1" si="12"/>
        <v/>
      </c>
      <c r="AL32" s="55" t="str">
        <f t="shared" ca="1" si="12"/>
        <v/>
      </c>
      <c r="AM32" s="55" t="str">
        <f t="shared" ca="1" si="13"/>
        <v/>
      </c>
      <c r="AN32" s="55" t="str">
        <f t="shared" ca="1" si="13"/>
        <v/>
      </c>
      <c r="AO32" s="55" t="str">
        <f t="shared" ca="1" si="13"/>
        <v/>
      </c>
      <c r="AP32" s="55" t="str">
        <f t="shared" ca="1" si="13"/>
        <v/>
      </c>
      <c r="AQ32" s="55" t="str">
        <f t="shared" ca="1" si="13"/>
        <v/>
      </c>
      <c r="AR32" s="55" t="str">
        <f t="shared" ca="1" si="13"/>
        <v/>
      </c>
      <c r="AS32" s="55" t="str">
        <f t="shared" ca="1" si="13"/>
        <v/>
      </c>
      <c r="AT32" s="55" t="str">
        <f t="shared" ca="1" si="13"/>
        <v/>
      </c>
      <c r="AU32" s="55" t="str">
        <f t="shared" ca="1" si="13"/>
        <v/>
      </c>
      <c r="AV32" s="55" t="str">
        <f t="shared" ca="1" si="13"/>
        <v/>
      </c>
      <c r="AW32" s="55" t="str">
        <f t="shared" ca="1" si="14"/>
        <v/>
      </c>
      <c r="AX32" s="55" t="str">
        <f t="shared" ca="1" si="14"/>
        <v/>
      </c>
      <c r="AY32" s="55" t="str">
        <f t="shared" ca="1" si="14"/>
        <v/>
      </c>
      <c r="AZ32" s="55" t="str">
        <f t="shared" ca="1" si="14"/>
        <v/>
      </c>
      <c r="BA32" s="55" t="str">
        <f t="shared" ca="1" si="14"/>
        <v/>
      </c>
      <c r="BB32" s="55" t="str">
        <f t="shared" ca="1" si="14"/>
        <v/>
      </c>
      <c r="BC32" s="55" t="str">
        <f t="shared" ca="1" si="14"/>
        <v/>
      </c>
      <c r="BD32" s="55" t="str">
        <f t="shared" ca="1" si="14"/>
        <v/>
      </c>
      <c r="BE32" s="55" t="str">
        <f t="shared" ca="1" si="14"/>
        <v/>
      </c>
      <c r="BF32" s="55" t="str">
        <f t="shared" ca="1" si="14"/>
        <v/>
      </c>
      <c r="BG32" s="55" t="str">
        <f t="shared" ca="1" si="15"/>
        <v/>
      </c>
      <c r="BH32" s="55" t="str">
        <f t="shared" ca="1" si="15"/>
        <v/>
      </c>
      <c r="BI32" s="55" t="str">
        <f t="shared" ca="1" si="15"/>
        <v/>
      </c>
      <c r="BJ32" s="55" t="str">
        <f t="shared" ca="1" si="15"/>
        <v/>
      </c>
      <c r="BK32" s="55" t="str">
        <f t="shared" ca="1" si="15"/>
        <v/>
      </c>
      <c r="BL32" s="55" t="str">
        <f t="shared" ca="1" si="15"/>
        <v/>
      </c>
    </row>
    <row r="33" spans="1:65" s="18" customFormat="1" ht="39.75" customHeight="1">
      <c r="A33" s="13"/>
      <c r="B33" s="70" t="s">
        <v>59</v>
      </c>
      <c r="C33" s="53"/>
      <c r="D33" s="53"/>
      <c r="E33" s="54"/>
      <c r="F33" s="49"/>
      <c r="G33" s="50"/>
      <c r="H33" s="53"/>
      <c r="I33" s="55" t="str">
        <f t="shared" ca="1" si="10"/>
        <v/>
      </c>
      <c r="J33" s="55" t="str">
        <f t="shared" ca="1" si="10"/>
        <v/>
      </c>
      <c r="K33" s="55" t="str">
        <f t="shared" ca="1" si="10"/>
        <v/>
      </c>
      <c r="L33" s="55" t="str">
        <f t="shared" ca="1" si="10"/>
        <v/>
      </c>
      <c r="M33" s="55" t="str">
        <f t="shared" ca="1" si="10"/>
        <v/>
      </c>
      <c r="N33" s="55" t="str">
        <f t="shared" ca="1" si="10"/>
        <v/>
      </c>
      <c r="O33" s="55" t="str">
        <f t="shared" ca="1" si="10"/>
        <v/>
      </c>
      <c r="P33" s="55" t="str">
        <f t="shared" ca="1" si="10"/>
        <v/>
      </c>
      <c r="Q33" s="55" t="str">
        <f t="shared" ca="1" si="10"/>
        <v/>
      </c>
      <c r="R33" s="55" t="str">
        <f t="shared" ca="1" si="10"/>
        <v/>
      </c>
      <c r="S33" s="55" t="str">
        <f t="shared" ca="1" si="11"/>
        <v/>
      </c>
      <c r="T33" s="55" t="str">
        <f t="shared" ca="1" si="11"/>
        <v/>
      </c>
      <c r="U33" s="55" t="str">
        <f t="shared" ca="1" si="11"/>
        <v/>
      </c>
      <c r="V33" s="55" t="str">
        <f t="shared" ca="1" si="11"/>
        <v/>
      </c>
      <c r="W33" s="55" t="str">
        <f t="shared" ca="1" si="11"/>
        <v/>
      </c>
      <c r="X33" s="55" t="str">
        <f t="shared" ca="1" si="11"/>
        <v/>
      </c>
      <c r="Y33" s="55" t="str">
        <f t="shared" ca="1" si="11"/>
        <v/>
      </c>
      <c r="Z33" s="55" t="str">
        <f t="shared" ca="1" si="11"/>
        <v/>
      </c>
      <c r="AA33" s="55" t="str">
        <f t="shared" ca="1" si="11"/>
        <v/>
      </c>
      <c r="AB33" s="55" t="str">
        <f t="shared" ca="1" si="11"/>
        <v/>
      </c>
      <c r="AC33" s="55" t="str">
        <f t="shared" ca="1" si="12"/>
        <v/>
      </c>
      <c r="AD33" s="55" t="str">
        <f t="shared" ca="1" si="12"/>
        <v/>
      </c>
      <c r="AE33" s="55" t="str">
        <f t="shared" ca="1" si="12"/>
        <v/>
      </c>
      <c r="AF33" s="55" t="str">
        <f t="shared" ca="1" si="12"/>
        <v/>
      </c>
      <c r="AG33" s="55" t="str">
        <f t="shared" ca="1" si="12"/>
        <v/>
      </c>
      <c r="AH33" s="55" t="str">
        <f t="shared" ca="1" si="12"/>
        <v/>
      </c>
      <c r="AI33" s="55" t="str">
        <f t="shared" ca="1" si="12"/>
        <v/>
      </c>
      <c r="AJ33" s="55" t="str">
        <f t="shared" ca="1" si="12"/>
        <v/>
      </c>
      <c r="AK33" s="55" t="str">
        <f t="shared" ca="1" si="12"/>
        <v/>
      </c>
      <c r="AL33" s="55" t="str">
        <f t="shared" ca="1" si="12"/>
        <v/>
      </c>
      <c r="AM33" s="55" t="str">
        <f t="shared" ca="1" si="13"/>
        <v/>
      </c>
      <c r="AN33" s="55" t="str">
        <f t="shared" ca="1" si="13"/>
        <v/>
      </c>
      <c r="AO33" s="55" t="str">
        <f t="shared" ca="1" si="13"/>
        <v/>
      </c>
      <c r="AP33" s="55" t="str">
        <f t="shared" ca="1" si="13"/>
        <v/>
      </c>
      <c r="AQ33" s="55" t="str">
        <f t="shared" ca="1" si="13"/>
        <v/>
      </c>
      <c r="AR33" s="55" t="str">
        <f t="shared" ca="1" si="13"/>
        <v/>
      </c>
      <c r="AS33" s="55" t="str">
        <f t="shared" ca="1" si="13"/>
        <v/>
      </c>
      <c r="AT33" s="55" t="str">
        <f t="shared" ca="1" si="13"/>
        <v/>
      </c>
      <c r="AU33" s="55" t="str">
        <f t="shared" ca="1" si="13"/>
        <v/>
      </c>
      <c r="AV33" s="55" t="str">
        <f t="shared" ca="1" si="13"/>
        <v/>
      </c>
      <c r="AW33" s="55" t="str">
        <f t="shared" ca="1" si="14"/>
        <v/>
      </c>
      <c r="AX33" s="55" t="str">
        <f t="shared" ca="1" si="14"/>
        <v/>
      </c>
      <c r="AY33" s="55" t="str">
        <f t="shared" ca="1" si="14"/>
        <v/>
      </c>
      <c r="AZ33" s="55" t="str">
        <f t="shared" ca="1" si="14"/>
        <v/>
      </c>
      <c r="BA33" s="55" t="str">
        <f t="shared" ca="1" si="14"/>
        <v/>
      </c>
      <c r="BB33" s="55" t="str">
        <f t="shared" ca="1" si="14"/>
        <v/>
      </c>
      <c r="BC33" s="55" t="str">
        <f t="shared" ca="1" si="14"/>
        <v/>
      </c>
      <c r="BD33" s="55" t="str">
        <f t="shared" ca="1" si="14"/>
        <v/>
      </c>
      <c r="BE33" s="55" t="str">
        <f t="shared" ca="1" si="14"/>
        <v/>
      </c>
      <c r="BF33" s="55" t="str">
        <f t="shared" ca="1" si="14"/>
        <v/>
      </c>
      <c r="BG33" s="55" t="str">
        <f t="shared" ca="1" si="15"/>
        <v/>
      </c>
      <c r="BH33" s="55" t="str">
        <f t="shared" ca="1" si="15"/>
        <v/>
      </c>
      <c r="BI33" s="55" t="str">
        <f t="shared" ca="1" si="15"/>
        <v/>
      </c>
      <c r="BJ33" s="55" t="str">
        <f t="shared" ca="1" si="15"/>
        <v/>
      </c>
      <c r="BK33" s="55" t="str">
        <f t="shared" ca="1" si="15"/>
        <v/>
      </c>
      <c r="BL33" s="55" t="str">
        <f t="shared" ca="1" si="15"/>
        <v/>
      </c>
    </row>
    <row r="34" spans="1:65" s="18" customFormat="1" ht="39.75" customHeight="1">
      <c r="A34" s="13"/>
      <c r="B34" s="70" t="s">
        <v>41</v>
      </c>
      <c r="C34" s="53"/>
      <c r="D34" s="53"/>
      <c r="E34" s="54"/>
      <c r="F34" s="49"/>
      <c r="G34" s="50"/>
      <c r="H34" s="53"/>
      <c r="I34" s="55" t="str">
        <f t="shared" ca="1" si="10"/>
        <v/>
      </c>
      <c r="J34" s="55" t="str">
        <f t="shared" ca="1" si="10"/>
        <v/>
      </c>
      <c r="K34" s="55" t="str">
        <f t="shared" ca="1" si="10"/>
        <v/>
      </c>
      <c r="L34" s="55" t="str">
        <f t="shared" ca="1" si="10"/>
        <v/>
      </c>
      <c r="M34" s="55" t="str">
        <f t="shared" ca="1" si="10"/>
        <v/>
      </c>
      <c r="N34" s="55" t="str">
        <f t="shared" ca="1" si="10"/>
        <v/>
      </c>
      <c r="O34" s="55" t="str">
        <f t="shared" ca="1" si="10"/>
        <v/>
      </c>
      <c r="P34" s="55" t="str">
        <f t="shared" ca="1" si="10"/>
        <v/>
      </c>
      <c r="Q34" s="55" t="str">
        <f t="shared" ca="1" si="10"/>
        <v/>
      </c>
      <c r="R34" s="55" t="str">
        <f t="shared" ca="1" si="10"/>
        <v/>
      </c>
      <c r="S34" s="55" t="str">
        <f t="shared" ca="1" si="11"/>
        <v/>
      </c>
      <c r="T34" s="55" t="str">
        <f t="shared" ca="1" si="11"/>
        <v/>
      </c>
      <c r="U34" s="55" t="str">
        <f t="shared" ca="1" si="11"/>
        <v/>
      </c>
      <c r="V34" s="55" t="str">
        <f t="shared" ca="1" si="11"/>
        <v/>
      </c>
      <c r="W34" s="55" t="str">
        <f t="shared" ca="1" si="11"/>
        <v/>
      </c>
      <c r="X34" s="55" t="str">
        <f t="shared" ca="1" si="11"/>
        <v/>
      </c>
      <c r="Y34" s="55" t="str">
        <f t="shared" ca="1" si="11"/>
        <v/>
      </c>
      <c r="Z34" s="55" t="str">
        <f t="shared" ca="1" si="11"/>
        <v/>
      </c>
      <c r="AA34" s="55" t="str">
        <f t="shared" ca="1" si="11"/>
        <v/>
      </c>
      <c r="AB34" s="55" t="str">
        <f t="shared" ca="1" si="11"/>
        <v/>
      </c>
      <c r="AC34" s="55" t="str">
        <f t="shared" ca="1" si="12"/>
        <v/>
      </c>
      <c r="AD34" s="55" t="str">
        <f t="shared" ca="1" si="12"/>
        <v/>
      </c>
      <c r="AE34" s="55" t="str">
        <f t="shared" ca="1" si="12"/>
        <v/>
      </c>
      <c r="AF34" s="55" t="str">
        <f t="shared" ca="1" si="12"/>
        <v/>
      </c>
      <c r="AG34" s="55" t="str">
        <f t="shared" ca="1" si="12"/>
        <v/>
      </c>
      <c r="AH34" s="55" t="str">
        <f t="shared" ca="1" si="12"/>
        <v/>
      </c>
      <c r="AI34" s="55" t="str">
        <f t="shared" ca="1" si="12"/>
        <v/>
      </c>
      <c r="AJ34" s="55" t="str">
        <f t="shared" ca="1" si="12"/>
        <v/>
      </c>
      <c r="AK34" s="55" t="str">
        <f t="shared" ca="1" si="12"/>
        <v/>
      </c>
      <c r="AL34" s="55" t="str">
        <f t="shared" ca="1" si="12"/>
        <v/>
      </c>
      <c r="AM34" s="55" t="str">
        <f t="shared" ca="1" si="13"/>
        <v/>
      </c>
      <c r="AN34" s="55" t="str">
        <f t="shared" ca="1" si="13"/>
        <v/>
      </c>
      <c r="AO34" s="55" t="str">
        <f t="shared" ca="1" si="13"/>
        <v/>
      </c>
      <c r="AP34" s="55" t="str">
        <f t="shared" ca="1" si="13"/>
        <v/>
      </c>
      <c r="AQ34" s="55" t="str">
        <f t="shared" ca="1" si="13"/>
        <v/>
      </c>
      <c r="AR34" s="55" t="str">
        <f t="shared" ca="1" si="13"/>
        <v/>
      </c>
      <c r="AS34" s="55" t="str">
        <f t="shared" ca="1" si="13"/>
        <v/>
      </c>
      <c r="AT34" s="55" t="str">
        <f t="shared" ca="1" si="13"/>
        <v/>
      </c>
      <c r="AU34" s="55" t="str">
        <f t="shared" ca="1" si="13"/>
        <v/>
      </c>
      <c r="AV34" s="55" t="str">
        <f t="shared" ca="1" si="13"/>
        <v/>
      </c>
      <c r="AW34" s="55" t="str">
        <f t="shared" ca="1" si="14"/>
        <v/>
      </c>
      <c r="AX34" s="55" t="str">
        <f t="shared" ca="1" si="14"/>
        <v/>
      </c>
      <c r="AY34" s="55" t="str">
        <f t="shared" ca="1" si="14"/>
        <v/>
      </c>
      <c r="AZ34" s="55" t="str">
        <f t="shared" ca="1" si="14"/>
        <v/>
      </c>
      <c r="BA34" s="55" t="str">
        <f t="shared" ca="1" si="14"/>
        <v/>
      </c>
      <c r="BB34" s="55" t="str">
        <f t="shared" ca="1" si="14"/>
        <v/>
      </c>
      <c r="BC34" s="55" t="str">
        <f t="shared" ca="1" si="14"/>
        <v/>
      </c>
      <c r="BD34" s="55" t="str">
        <f t="shared" ca="1" si="14"/>
        <v/>
      </c>
      <c r="BE34" s="55" t="str">
        <f t="shared" ca="1" si="14"/>
        <v/>
      </c>
      <c r="BF34" s="55" t="str">
        <f t="shared" ca="1" si="14"/>
        <v/>
      </c>
      <c r="BG34" s="55" t="str">
        <f t="shared" ca="1" si="15"/>
        <v/>
      </c>
      <c r="BH34" s="55" t="str">
        <f t="shared" ca="1" si="15"/>
        <v/>
      </c>
      <c r="BI34" s="55" t="str">
        <f t="shared" ca="1" si="15"/>
        <v/>
      </c>
      <c r="BJ34" s="55" t="str">
        <f t="shared" ca="1" si="15"/>
        <v/>
      </c>
      <c r="BK34" s="55" t="str">
        <f t="shared" ca="1" si="15"/>
        <v/>
      </c>
      <c r="BL34" s="55" t="str">
        <f t="shared" ca="1" si="15"/>
        <v/>
      </c>
    </row>
    <row r="35" spans="1:65" s="18" customFormat="1" ht="39.75" customHeight="1">
      <c r="A35" s="13"/>
      <c r="B35" s="70"/>
      <c r="C35" s="53"/>
      <c r="D35" s="53"/>
      <c r="E35" s="54"/>
      <c r="F35" s="49"/>
      <c r="G35" s="50"/>
      <c r="H35" s="53"/>
      <c r="I35" s="55" t="str">
        <f t="shared" ca="1" si="10"/>
        <v/>
      </c>
      <c r="J35" s="55" t="str">
        <f t="shared" ca="1" si="10"/>
        <v/>
      </c>
      <c r="K35" s="55" t="str">
        <f t="shared" ca="1" si="10"/>
        <v/>
      </c>
      <c r="L35" s="55" t="str">
        <f t="shared" ca="1" si="10"/>
        <v/>
      </c>
      <c r="M35" s="55" t="str">
        <f t="shared" ca="1" si="10"/>
        <v/>
      </c>
      <c r="N35" s="55" t="str">
        <f t="shared" ca="1" si="10"/>
        <v/>
      </c>
      <c r="O35" s="55" t="str">
        <f t="shared" ca="1" si="10"/>
        <v/>
      </c>
      <c r="P35" s="55" t="str">
        <f t="shared" ca="1" si="10"/>
        <v/>
      </c>
      <c r="Q35" s="55" t="str">
        <f t="shared" ca="1" si="10"/>
        <v/>
      </c>
      <c r="R35" s="55" t="str">
        <f t="shared" ca="1" si="10"/>
        <v/>
      </c>
      <c r="S35" s="55" t="str">
        <f t="shared" ca="1" si="11"/>
        <v/>
      </c>
      <c r="T35" s="55" t="str">
        <f t="shared" ca="1" si="11"/>
        <v/>
      </c>
      <c r="U35" s="55" t="str">
        <f t="shared" ca="1" si="11"/>
        <v/>
      </c>
      <c r="V35" s="55" t="str">
        <f t="shared" ca="1" si="11"/>
        <v/>
      </c>
      <c r="W35" s="55" t="str">
        <f t="shared" ca="1" si="11"/>
        <v/>
      </c>
      <c r="X35" s="55" t="str">
        <f t="shared" ca="1" si="11"/>
        <v/>
      </c>
      <c r="Y35" s="55" t="str">
        <f t="shared" ca="1" si="11"/>
        <v/>
      </c>
      <c r="Z35" s="55" t="str">
        <f t="shared" ca="1" si="11"/>
        <v/>
      </c>
      <c r="AA35" s="55" t="str">
        <f t="shared" ca="1" si="11"/>
        <v/>
      </c>
      <c r="AB35" s="55" t="str">
        <f t="shared" ca="1" si="11"/>
        <v/>
      </c>
      <c r="AC35" s="55" t="str">
        <f t="shared" ca="1" si="12"/>
        <v/>
      </c>
      <c r="AD35" s="55" t="str">
        <f t="shared" ca="1" si="12"/>
        <v/>
      </c>
      <c r="AE35" s="55" t="str">
        <f t="shared" ca="1" si="12"/>
        <v/>
      </c>
      <c r="AF35" s="55" t="str">
        <f t="shared" ca="1" si="12"/>
        <v/>
      </c>
      <c r="AG35" s="55" t="str">
        <f t="shared" ca="1" si="12"/>
        <v/>
      </c>
      <c r="AH35" s="55" t="str">
        <f t="shared" ca="1" si="12"/>
        <v/>
      </c>
      <c r="AI35" s="55" t="str">
        <f t="shared" ca="1" si="12"/>
        <v/>
      </c>
      <c r="AJ35" s="55" t="str">
        <f t="shared" ca="1" si="12"/>
        <v/>
      </c>
      <c r="AK35" s="55" t="str">
        <f t="shared" ca="1" si="12"/>
        <v/>
      </c>
      <c r="AL35" s="55" t="str">
        <f t="shared" ca="1" si="12"/>
        <v/>
      </c>
      <c r="AM35" s="55" t="str">
        <f t="shared" ca="1" si="13"/>
        <v/>
      </c>
      <c r="AN35" s="55" t="str">
        <f t="shared" ca="1" si="13"/>
        <v/>
      </c>
      <c r="AO35" s="55" t="str">
        <f t="shared" ca="1" si="13"/>
        <v/>
      </c>
      <c r="AP35" s="55" t="str">
        <f t="shared" ca="1" si="13"/>
        <v/>
      </c>
      <c r="AQ35" s="55" t="str">
        <f t="shared" ca="1" si="13"/>
        <v/>
      </c>
      <c r="AR35" s="55" t="str">
        <f t="shared" ca="1" si="13"/>
        <v/>
      </c>
      <c r="AS35" s="55" t="str">
        <f t="shared" ca="1" si="13"/>
        <v/>
      </c>
      <c r="AT35" s="55" t="str">
        <f t="shared" ca="1" si="13"/>
        <v/>
      </c>
      <c r="AU35" s="55" t="str">
        <f t="shared" ca="1" si="13"/>
        <v/>
      </c>
      <c r="AV35" s="55" t="str">
        <f t="shared" ca="1" si="13"/>
        <v/>
      </c>
      <c r="AW35" s="55" t="str">
        <f t="shared" ca="1" si="14"/>
        <v/>
      </c>
      <c r="AX35" s="55" t="str">
        <f t="shared" ca="1" si="14"/>
        <v/>
      </c>
      <c r="AY35" s="55" t="str">
        <f t="shared" ca="1" si="14"/>
        <v/>
      </c>
      <c r="AZ35" s="55" t="str">
        <f t="shared" ca="1" si="14"/>
        <v/>
      </c>
      <c r="BA35" s="55" t="str">
        <f t="shared" ca="1" si="14"/>
        <v/>
      </c>
      <c r="BB35" s="55" t="str">
        <f t="shared" ca="1" si="14"/>
        <v/>
      </c>
      <c r="BC35" s="55" t="str">
        <f t="shared" ca="1" si="14"/>
        <v/>
      </c>
      <c r="BD35" s="55" t="str">
        <f t="shared" ca="1" si="14"/>
        <v/>
      </c>
      <c r="BE35" s="55" t="str">
        <f t="shared" ca="1" si="14"/>
        <v/>
      </c>
      <c r="BF35" s="55" t="str">
        <f t="shared" ca="1" si="14"/>
        <v/>
      </c>
      <c r="BG35" s="55" t="str">
        <f t="shared" ca="1" si="15"/>
        <v/>
      </c>
      <c r="BH35" s="55" t="str">
        <f t="shared" ca="1" si="15"/>
        <v/>
      </c>
      <c r="BI35" s="55" t="str">
        <f t="shared" ca="1" si="15"/>
        <v/>
      </c>
      <c r="BJ35" s="55" t="str">
        <f t="shared" ca="1" si="15"/>
        <v/>
      </c>
      <c r="BK35" s="55" t="str">
        <f t="shared" ca="1" si="15"/>
        <v/>
      </c>
      <c r="BL35" s="55" t="str">
        <f t="shared" ca="1" si="15"/>
        <v/>
      </c>
      <c r="BM35" s="76"/>
    </row>
    <row r="36" spans="1:65" s="18" customFormat="1" ht="39.75" customHeight="1">
      <c r="A36" s="15"/>
      <c r="B36" s="70" t="s">
        <v>64</v>
      </c>
      <c r="C36" s="53"/>
      <c r="D36" s="53"/>
      <c r="E36" s="4"/>
      <c r="F36" s="49"/>
      <c r="G36" s="50"/>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row>
    <row r="37" spans="1:65" ht="30" customHeight="1">
      <c r="D37" s="78"/>
      <c r="G37" s="77"/>
      <c r="H37" s="24"/>
    </row>
    <row r="38" spans="1:65" ht="30" customHeight="1">
      <c r="D38" s="81"/>
    </row>
  </sheetData>
  <mergeCells count="8">
    <mergeCell ref="X4:AA4"/>
    <mergeCell ref="AC4:AF4"/>
    <mergeCell ref="B2:H2"/>
    <mergeCell ref="I2:N2"/>
    <mergeCell ref="O2:T2"/>
    <mergeCell ref="I4:L4"/>
    <mergeCell ref="N4:Q4"/>
    <mergeCell ref="S4:V4"/>
  </mergeCells>
  <conditionalFormatting sqref="I6:BL6">
    <cfRule type="expression" dxfId="1" priority="6" stopIfTrue="1">
      <formula>AND(I$7&lt;=EOMONTH($I$7,1),I$7&gt;EOMONTH($I$7,0))</formula>
    </cfRule>
  </conditionalFormatting>
  <conditionalFormatting sqref="I7:BL36">
    <cfRule type="expression" dxfId="0" priority="7" stopIfTrue="1">
      <formula>AND(TODAY()&gt;=I$7,TODAY()&lt;J$7)</formula>
    </cfRule>
  </conditionalFormatting>
  <dataValidations count="13">
    <dataValidation allowBlank="1" showInputMessage="1" showErrorMessage="1" promptTitle="Create a Gantt Chart " prompt="Enter title of this project in cell B2._x000a_Information about how to use this worksheet, including instructions for screen readers and the author of this workbook is in the About worksheet._x000a_Continue navigating down column A to hear further instructions." sqref="A2" xr:uid="{9DB3EA37-C61C-414B-BE10-FC4022FE0B7E}"/>
    <dataValidation allowBlank="1" showInputMessage="1" showErrorMessage="1" prompt="A scrollbar is in cells I8 through BL8._x000a_To jump forward or backward in the timeline, enter a value of 0 or higher in cell C7._x000a_A value of 0 takes you to the beginning of the chart." sqref="A8" xr:uid="{00898DB8-A664-4D5E-9EB3-A6C5D90AF6CC}"/>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84717E29-6ADD-47B1-AF15-1B2ED2A4EAEC}"/>
    <dataValidation allowBlank="1" showInputMessage="1" showErrorMessage="1" prompt="Enter Project information starting in cell B11 through cell G11._x000a_Enter Milestone Description, select a Category, assign someone to the task, and enter the progress, start date, and number of days for the task to start charting." sqref="A11" xr:uid="{86C2A0CA-2ADA-429A-93C9-E7933BC224EC}"/>
    <dataValidation allowBlank="1" showInputMessage="1" showErrorMessage="1" prompt="This is an empty row" sqref="A35" xr:uid="{FDC8E1D1-3781-430A-81D2-E987A063F9E6}"/>
    <dataValidation allowBlank="1" showInputMessage="1" showErrorMessage="1" prompt="This row marks the end of the Gantt milestone data. DO NOT enter anything in this row._x000a_To add more items, insert new rows above this one." sqref="A36" xr:uid="{10B46DF3-E41C-4E84-B1DF-4327A3801885}"/>
    <dataValidation type="whole" operator="greaterThanOrEqual" allowBlank="1" showInputMessage="1" promptTitle="Scrolling Increment" prompt="Changing this number will scroll the Gantt Chart view." sqref="C7" xr:uid="{6FCCFB67-64EB-4683-83D3-CAFCFD25E1F9}">
      <formula1>0</formula1>
    </dataValidation>
    <dataValidation type="list" allowBlank="1" showInputMessage="1" showErrorMessage="1" sqref="C10 C12:C35" xr:uid="{36435640-22B0-46E2-A90F-622EAFED409F}">
      <formula1>"Goal,Milestone,On Track,Low Risk,Med Risk,High Risk"</formula1>
    </dataValidation>
    <dataValidation type="list" allowBlank="1" showInputMessage="1" sqref="C11" xr:uid="{B4DE8064-905E-4B4F-B6CB-56D68439F463}">
      <formula1>"Goal,Milestone,On Track,Low Risk,Med Risk,High Risk"</formula1>
    </dataValidation>
    <dataValidation allowBlank="1" showInputMessage="1" showErrorMessage="1" prompt="Enter Company Name in cell B4._x000a_A legend is in cells I4 through AC4.  The Legend label is in cell G4." sqref="A4" xr:uid="{E33D6A97-58D5-4612-A0D2-B38A73F68B1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219C086-B295-41F0-AF91-F5E51EBF8A6F}"/>
    <dataValidation allowBlank="1" showInputMessage="1" showErrorMessage="1" prompt="A Scrolling Increment is in cell C7._x000a_Months for the dates in row 7 are displayed starting in cells I6 through cell BL6._x000a_Do not modify these cells. They are auto updated based on the project start date in cell F6." sqref="A6" xr:uid="{96FD07A9-9F5E-416A-BB4A-E365086E7520}"/>
    <dataValidation allowBlank="1" showInputMessage="1" showErrorMessage="1" prompt="Cells I9 through BL9 contain the day number of the month for the Month represented in the cell block above each date cell and are auto calculated._x000a_Do not modify these cells." sqref="A7" xr:uid="{6AFD746B-9663-47EC-B2FD-D16B17B6048B}"/>
  </dataValidations>
  <printOptions horizontalCentered="1"/>
  <pageMargins left="0.25" right="0.25" top="0.89370078740157499" bottom="0.54724409448818911" header="0.5" footer="0.30000000000000004"/>
  <pageSetup paperSize="0" fitToHeight="0" orientation="landscape" horizontalDpi="0" verticalDpi="0" copies="0"/>
  <headerFooter alignWithMargins="0">
    <oddFooter>&amp;C&amp;"Calibri1,Regular"&amp;11&amp;K000000Page &amp;P of &amp;N</oddFooter>
  </headerFooter>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About</vt:lpstr>
      <vt:lpstr>Light</vt:lpstr>
      <vt:lpstr>Dark</vt:lpstr>
      <vt:lpstr>Color</vt:lpstr>
      <vt:lpstr>Color!Project_Start</vt:lpstr>
      <vt:lpstr>Dark!Project_Start</vt:lpstr>
      <vt:lpstr>Light!Project_Start</vt:lpstr>
      <vt:lpstr>Color!Scrolling_Increment</vt:lpstr>
      <vt:lpstr>Dark!Scrolling_Increment</vt:lpstr>
      <vt:lpstr>Light!Scrolling_Increment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Poutu D'arcy Clayton</dc:creator>
  <dc:description/>
  <cp:lastModifiedBy>Poutu D'arcy Clayton</cp:lastModifiedBy>
  <cp:revision>1</cp:revision>
  <dcterms:created xsi:type="dcterms:W3CDTF">2021-02-17T05:31:39Z</dcterms:created>
  <dcterms:modified xsi:type="dcterms:W3CDTF">2026-04-28T21:44:55Z</dcterms:modified>
</cp:coreProperties>
</file>

<file path=docProps/custom.xml><?xml version="1.0" encoding="utf-8"?>
<Properties xmlns="http://purl.oclc.org/ooxml/officeDocument/customProperties" xmlns:vt="http://purl.oclc.org/ooxml/officeDocument/docPropsVTypes">
  <property fmtid="{D5CDD505-2E9C-101B-9397-08002B2CF9AE}" pid="2" name="AppVersion">
    <vt:lpwstr>16.0300</vt:lpwstr>
  </property>
  <property fmtid="{D5CDD505-2E9C-101B-9397-08002B2CF9AE}" pid="3" name="ContentTypeId">
    <vt:lpwstr>0x01010079F111ED35F8CC479449609E8A0923A6</vt:lpwstr>
  </property>
</Properties>
</file>