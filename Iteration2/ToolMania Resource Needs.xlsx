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emahau-my.sharepoint.com/personal/hikub1_student_eit_ac_nz/Documents/"/>
    </mc:Choice>
  </mc:AlternateContent>
  <xr:revisionPtr revIDLastSave="283" documentId="8_{B6503EBE-2ADD-4A16-8066-1AB492636F65}" xr6:coauthVersionLast="47" xr6:coauthVersionMax="47" xr10:uidLastSave="{33E48716-924C-47C9-A0F5-6CE60911F662}"/>
  <bookViews>
    <workbookView xWindow="-120" yWindow="-120" windowWidth="29040" windowHeight="15720" xr2:uid="{53AB7FD0-AC0F-4E48-9BE8-402108E783F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8" i="1"/>
  <c r="K6" i="1"/>
  <c r="K4" i="1"/>
  <c r="K26" i="1"/>
  <c r="K24" i="1"/>
  <c r="K22" i="1"/>
  <c r="K20" i="1"/>
  <c r="K18" i="1"/>
  <c r="K16" i="1"/>
  <c r="K14" i="1"/>
  <c r="K10" i="1"/>
  <c r="K28" i="1"/>
  <c r="I30" i="1"/>
  <c r="H30" i="1"/>
  <c r="K30" i="1" l="1"/>
</calcChain>
</file>

<file path=xl/sharedStrings.xml><?xml version="1.0" encoding="utf-8"?>
<sst xmlns="http://schemas.openxmlformats.org/spreadsheetml/2006/main" count="35" uniqueCount="26">
  <si>
    <t>Cost:</t>
  </si>
  <si>
    <t>Total:</t>
  </si>
  <si>
    <t>Time required (hrs)</t>
  </si>
  <si>
    <t>Amount of Resources required:</t>
  </si>
  <si>
    <t>Resources required:</t>
  </si>
  <si>
    <t>Deliverables:</t>
  </si>
  <si>
    <t>Task:</t>
  </si>
  <si>
    <t>Description:</t>
  </si>
  <si>
    <t>assigning titles</t>
  </si>
  <si>
    <t>market research</t>
  </si>
  <si>
    <t>members / laptop</t>
  </si>
  <si>
    <t xml:space="preserve">laptop </t>
  </si>
  <si>
    <t>Resource:</t>
  </si>
  <si>
    <t>Laptop</t>
  </si>
  <si>
    <t>Initial Website Design</t>
  </si>
  <si>
    <t>members / meeting / laptop</t>
  </si>
  <si>
    <t>Planning Phase</t>
  </si>
  <si>
    <t>Prototype Development</t>
  </si>
  <si>
    <t>Testing</t>
  </si>
  <si>
    <t>members</t>
  </si>
  <si>
    <t>Prototype Rework</t>
  </si>
  <si>
    <t>Final Testing</t>
  </si>
  <si>
    <t>Finished Build</t>
  </si>
  <si>
    <t>Demonstration</t>
  </si>
  <si>
    <t>Closing</t>
  </si>
  <si>
    <t>Software Eng.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</si>
</sst>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12" xfId="0" applyFont="1" applyFill="1" applyBorder="1" applyAlignment="1"/>
    <xf numFmtId="164" fontId="0" fillId="0" borderId="12" xfId="0" applyNumberFormat="1" applyBorder="1" applyAlignment="1"/>
    <xf numFmtId="0" fontId="0" fillId="0" borderId="12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3" borderId="2" xfId="1" applyNumberFormat="1" applyFont="1" applyFill="1" applyBorder="1" applyAlignment="1">
      <alignment horizontal="center" vertical="center"/>
    </xf>
    <xf numFmtId="164" fontId="1" fillId="3" borderId="3" xfId="1" applyNumberFormat="1" applyFont="1" applyFill="1" applyBorder="1" applyAlignment="1">
      <alignment horizontal="center" vertical="center"/>
    </xf>
    <xf numFmtId="164" fontId="1" fillId="3" borderId="4" xfId="1" applyNumberFormat="1" applyFont="1" applyFill="1" applyBorder="1" applyAlignment="1">
      <alignment horizontal="center" vertical="center"/>
    </xf>
    <xf numFmtId="164" fontId="1" fillId="3" borderId="5" xfId="1" applyNumberFormat="1" applyFont="1" applyFill="1" applyBorder="1" applyAlignment="1">
      <alignment horizontal="center" vertical="center"/>
    </xf>
    <xf numFmtId="164" fontId="1" fillId="3" borderId="6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49E8-81F3-4089-9F7B-E27F5A409281}">
  <dimension ref="A1:R31"/>
  <sheetViews>
    <sheetView tabSelected="1" workbookViewId="0">
      <selection activeCell="K26" sqref="K26:M27"/>
    </sheetView>
  </sheetViews>
  <sheetFormatPr defaultRowHeight="14.25"/>
  <cols>
    <col min="3" max="3" width="10.5" customWidth="1"/>
    <col min="4" max="4" width="11.875" customWidth="1"/>
    <col min="8" max="8" width="18.25" customWidth="1"/>
    <col min="9" max="9" width="16.625" customWidth="1"/>
    <col min="10" max="10" width="18" customWidth="1"/>
  </cols>
  <sheetData>
    <row r="1" spans="1:18" ht="15">
      <c r="A1" s="20" t="s">
        <v>5</v>
      </c>
      <c r="B1" s="18"/>
      <c r="C1" s="18"/>
      <c r="D1" s="19"/>
      <c r="E1" s="20" t="s">
        <v>4</v>
      </c>
      <c r="F1" s="21"/>
      <c r="G1" s="22"/>
      <c r="H1" s="1" t="s">
        <v>2</v>
      </c>
      <c r="I1" s="18" t="s">
        <v>3</v>
      </c>
      <c r="J1" s="19"/>
      <c r="K1" s="18" t="s">
        <v>0</v>
      </c>
      <c r="L1" s="21"/>
      <c r="M1" s="22"/>
    </row>
    <row r="2" spans="1:18">
      <c r="A2" s="13" t="s">
        <v>6</v>
      </c>
      <c r="B2" s="14"/>
      <c r="C2" s="13" t="s">
        <v>7</v>
      </c>
      <c r="D2" s="14"/>
      <c r="E2" s="17"/>
      <c r="F2" s="29"/>
      <c r="G2" s="14"/>
      <c r="H2" s="32"/>
      <c r="I2" s="17"/>
      <c r="J2" s="14"/>
      <c r="K2" s="17"/>
      <c r="L2" s="29"/>
      <c r="M2" s="14"/>
    </row>
    <row r="3" spans="1:18">
      <c r="A3" s="15"/>
      <c r="B3" s="16"/>
      <c r="C3" s="15"/>
      <c r="D3" s="16"/>
      <c r="E3" s="15"/>
      <c r="F3" s="30"/>
      <c r="G3" s="16"/>
      <c r="H3" s="33"/>
      <c r="I3" s="15"/>
      <c r="J3" s="16"/>
      <c r="K3" s="15"/>
      <c r="L3" s="30"/>
      <c r="M3" s="16"/>
    </row>
    <row r="4" spans="1:18">
      <c r="A4" s="17">
        <v>1</v>
      </c>
      <c r="B4" s="14"/>
      <c r="C4" s="17" t="s">
        <v>16</v>
      </c>
      <c r="D4" s="14"/>
      <c r="E4" s="17" t="s">
        <v>15</v>
      </c>
      <c r="F4" s="29"/>
      <c r="G4" s="14"/>
      <c r="H4" s="32">
        <v>1</v>
      </c>
      <c r="I4" s="17">
        <v>1</v>
      </c>
      <c r="J4" s="14"/>
      <c r="K4" s="31">
        <f>SUM(Q8*I4+Q9*H4)</f>
        <v>1160</v>
      </c>
      <c r="L4" s="29"/>
      <c r="M4" s="14"/>
    </row>
    <row r="5" spans="1:18">
      <c r="A5" s="15"/>
      <c r="B5" s="16"/>
      <c r="C5" s="15"/>
      <c r="D5" s="16"/>
      <c r="E5" s="15"/>
      <c r="F5" s="30"/>
      <c r="G5" s="16"/>
      <c r="H5" s="33"/>
      <c r="I5" s="15"/>
      <c r="J5" s="16"/>
      <c r="K5" s="15"/>
      <c r="L5" s="30"/>
      <c r="M5" s="16"/>
    </row>
    <row r="6" spans="1:18">
      <c r="A6" s="17">
        <v>1.1000000000000001</v>
      </c>
      <c r="B6" s="14"/>
      <c r="C6" s="17"/>
      <c r="D6" s="14"/>
      <c r="E6" s="17" t="s">
        <v>15</v>
      </c>
      <c r="F6" s="29"/>
      <c r="G6" s="14"/>
      <c r="H6" s="32">
        <v>0.5</v>
      </c>
      <c r="I6" s="17">
        <v>0</v>
      </c>
      <c r="J6" s="14"/>
      <c r="K6" s="31">
        <f>SUM(Q8*I6+Q9*H6)</f>
        <v>30</v>
      </c>
      <c r="L6" s="29"/>
      <c r="M6" s="14"/>
    </row>
    <row r="7" spans="1:18" ht="15">
      <c r="A7" s="15"/>
      <c r="B7" s="16"/>
      <c r="C7" s="15"/>
      <c r="D7" s="16"/>
      <c r="E7" s="15"/>
      <c r="F7" s="30"/>
      <c r="G7" s="16"/>
      <c r="H7" s="33"/>
      <c r="I7" s="15"/>
      <c r="J7" s="16"/>
      <c r="K7" s="15"/>
      <c r="L7" s="30"/>
      <c r="M7" s="16"/>
      <c r="O7" s="4" t="s">
        <v>12</v>
      </c>
      <c r="P7" s="5"/>
      <c r="Q7" s="4" t="s">
        <v>0</v>
      </c>
      <c r="R7" s="6"/>
    </row>
    <row r="8" spans="1:18">
      <c r="A8" s="17">
        <v>1.2</v>
      </c>
      <c r="B8" s="14"/>
      <c r="C8" s="17" t="s">
        <v>8</v>
      </c>
      <c r="D8" s="14"/>
      <c r="E8" s="17" t="s">
        <v>15</v>
      </c>
      <c r="F8" s="29"/>
      <c r="G8" s="14"/>
      <c r="H8" s="32">
        <v>0.5</v>
      </c>
      <c r="I8" s="17">
        <v>0</v>
      </c>
      <c r="J8" s="14"/>
      <c r="K8" s="31">
        <f>SUM(Q8*I8+Q9*H8)</f>
        <v>30</v>
      </c>
      <c r="L8" s="29"/>
      <c r="M8" s="14"/>
      <c r="O8" s="3" t="s">
        <v>13</v>
      </c>
      <c r="P8" s="3"/>
      <c r="Q8" s="2">
        <v>1100</v>
      </c>
      <c r="R8" s="2"/>
    </row>
    <row r="9" spans="1:18">
      <c r="A9" s="15"/>
      <c r="B9" s="16"/>
      <c r="C9" s="15"/>
      <c r="D9" s="16"/>
      <c r="E9" s="15"/>
      <c r="F9" s="30"/>
      <c r="G9" s="16"/>
      <c r="H9" s="33"/>
      <c r="I9" s="15"/>
      <c r="J9" s="16"/>
      <c r="K9" s="15"/>
      <c r="L9" s="30"/>
      <c r="M9" s="16"/>
      <c r="O9" s="3" t="s">
        <v>25</v>
      </c>
      <c r="P9" s="3"/>
      <c r="Q9" s="42">
        <v>60</v>
      </c>
      <c r="R9" s="42"/>
    </row>
    <row r="10" spans="1:18">
      <c r="A10" s="17">
        <v>1.3</v>
      </c>
      <c r="B10" s="14"/>
      <c r="C10" s="17" t="s">
        <v>9</v>
      </c>
      <c r="D10" s="14"/>
      <c r="E10" s="17" t="s">
        <v>10</v>
      </c>
      <c r="F10" s="29"/>
      <c r="G10" s="14"/>
      <c r="H10" s="32">
        <v>6</v>
      </c>
      <c r="I10" s="17">
        <v>4</v>
      </c>
      <c r="J10" s="14"/>
      <c r="K10" s="31">
        <f>SUM(Q8*I10+Q9*H10)</f>
        <v>4760</v>
      </c>
      <c r="L10" s="29"/>
      <c r="M10" s="14"/>
      <c r="O10" s="3"/>
      <c r="P10" s="3"/>
      <c r="Q10" s="3"/>
      <c r="R10" s="3"/>
    </row>
    <row r="11" spans="1:18">
      <c r="A11" s="15"/>
      <c r="B11" s="16"/>
      <c r="C11" s="15"/>
      <c r="D11" s="16"/>
      <c r="E11" s="15"/>
      <c r="F11" s="30"/>
      <c r="G11" s="16"/>
      <c r="H11" s="33"/>
      <c r="I11" s="15"/>
      <c r="J11" s="16"/>
      <c r="K11" s="15"/>
      <c r="L11" s="30"/>
      <c r="M11" s="16"/>
      <c r="O11" s="3"/>
      <c r="P11" s="3"/>
      <c r="Q11" s="3"/>
      <c r="R11" s="3"/>
    </row>
    <row r="12" spans="1:18">
      <c r="A12" s="17">
        <v>1.4</v>
      </c>
      <c r="B12" s="14"/>
      <c r="C12" s="17" t="s">
        <v>14</v>
      </c>
      <c r="D12" s="14"/>
      <c r="E12" s="17" t="s">
        <v>11</v>
      </c>
      <c r="F12" s="29"/>
      <c r="G12" s="14"/>
      <c r="H12" s="32">
        <v>27</v>
      </c>
      <c r="I12" s="17">
        <v>4</v>
      </c>
      <c r="J12" s="14"/>
      <c r="K12" s="31">
        <f>SUM(Q10*I12+Q9*H12)</f>
        <v>1620</v>
      </c>
      <c r="L12" s="29"/>
      <c r="M12" s="14"/>
    </row>
    <row r="13" spans="1:18">
      <c r="A13" s="15"/>
      <c r="B13" s="16"/>
      <c r="C13" s="15"/>
      <c r="D13" s="16"/>
      <c r="E13" s="15"/>
      <c r="F13" s="30"/>
      <c r="G13" s="16"/>
      <c r="H13" s="33"/>
      <c r="I13" s="15"/>
      <c r="J13" s="16"/>
      <c r="K13" s="15"/>
      <c r="L13" s="30"/>
      <c r="M13" s="16"/>
    </row>
    <row r="14" spans="1:18">
      <c r="A14" s="17">
        <v>2</v>
      </c>
      <c r="B14" s="14"/>
      <c r="C14" s="17" t="s">
        <v>17</v>
      </c>
      <c r="D14" s="14"/>
      <c r="E14" s="17" t="s">
        <v>10</v>
      </c>
      <c r="F14" s="29"/>
      <c r="G14" s="14"/>
      <c r="H14" s="32">
        <v>336</v>
      </c>
      <c r="I14" s="17">
        <v>2</v>
      </c>
      <c r="J14" s="14"/>
      <c r="K14" s="31">
        <f>SUM(Q12*I14+Q9*H14)</f>
        <v>20160</v>
      </c>
      <c r="L14" s="29"/>
      <c r="M14" s="14"/>
    </row>
    <row r="15" spans="1:18">
      <c r="A15" s="15"/>
      <c r="B15" s="16"/>
      <c r="C15" s="15"/>
      <c r="D15" s="16"/>
      <c r="E15" s="15"/>
      <c r="F15" s="30"/>
      <c r="G15" s="16"/>
      <c r="H15" s="33"/>
      <c r="I15" s="15"/>
      <c r="J15" s="16"/>
      <c r="K15" s="15"/>
      <c r="L15" s="30"/>
      <c r="M15" s="16"/>
    </row>
    <row r="16" spans="1:18">
      <c r="A16" s="17">
        <v>2.1</v>
      </c>
      <c r="B16" s="14"/>
      <c r="C16" s="17" t="s">
        <v>18</v>
      </c>
      <c r="D16" s="14"/>
      <c r="E16" s="17" t="s">
        <v>10</v>
      </c>
      <c r="F16" s="29"/>
      <c r="G16" s="14"/>
      <c r="H16" s="32">
        <v>72</v>
      </c>
      <c r="I16" s="17">
        <v>1</v>
      </c>
      <c r="J16" s="14"/>
      <c r="K16" s="31">
        <f>SUM(Q14*I16+Q9*H16)</f>
        <v>4320</v>
      </c>
      <c r="L16" s="29"/>
      <c r="M16" s="14"/>
    </row>
    <row r="17" spans="1:13">
      <c r="A17" s="15"/>
      <c r="B17" s="16"/>
      <c r="C17" s="15"/>
      <c r="D17" s="16"/>
      <c r="E17" s="15"/>
      <c r="F17" s="30"/>
      <c r="G17" s="16"/>
      <c r="H17" s="33"/>
      <c r="I17" s="15"/>
      <c r="J17" s="16"/>
      <c r="K17" s="15"/>
      <c r="L17" s="30"/>
      <c r="M17" s="16"/>
    </row>
    <row r="18" spans="1:13">
      <c r="A18" s="17">
        <v>2.2000000000000002</v>
      </c>
      <c r="B18" s="14"/>
      <c r="C18" s="17" t="s">
        <v>20</v>
      </c>
      <c r="D18" s="14"/>
      <c r="E18" s="17" t="s">
        <v>10</v>
      </c>
      <c r="F18" s="29"/>
      <c r="G18" s="14"/>
      <c r="H18" s="32">
        <v>168</v>
      </c>
      <c r="I18" s="17">
        <v>2</v>
      </c>
      <c r="J18" s="14"/>
      <c r="K18" s="31">
        <f>SUM(Q16*I18+Q9*H18)</f>
        <v>10080</v>
      </c>
      <c r="L18" s="29"/>
      <c r="M18" s="14"/>
    </row>
    <row r="19" spans="1:13">
      <c r="A19" s="15"/>
      <c r="B19" s="16"/>
      <c r="C19" s="15"/>
      <c r="D19" s="16"/>
      <c r="E19" s="15"/>
      <c r="F19" s="30"/>
      <c r="G19" s="16"/>
      <c r="H19" s="33"/>
      <c r="I19" s="15"/>
      <c r="J19" s="16"/>
      <c r="K19" s="15"/>
      <c r="L19" s="30"/>
      <c r="M19" s="16"/>
    </row>
    <row r="20" spans="1:13">
      <c r="A20" s="17">
        <v>2.2999999999999998</v>
      </c>
      <c r="B20" s="14"/>
      <c r="C20" s="17" t="s">
        <v>21</v>
      </c>
      <c r="D20" s="14"/>
      <c r="E20" s="17" t="s">
        <v>10</v>
      </c>
      <c r="F20" s="29"/>
      <c r="G20" s="14"/>
      <c r="H20" s="32">
        <v>96</v>
      </c>
      <c r="I20" s="17">
        <v>1</v>
      </c>
      <c r="J20" s="14"/>
      <c r="K20" s="31">
        <f>SUM(Q18*I20+Q9*H20)</f>
        <v>5760</v>
      </c>
      <c r="L20" s="29"/>
      <c r="M20" s="14"/>
    </row>
    <row r="21" spans="1:13">
      <c r="A21" s="15"/>
      <c r="B21" s="16"/>
      <c r="C21" s="15"/>
      <c r="D21" s="16"/>
      <c r="E21" s="15"/>
      <c r="F21" s="30"/>
      <c r="G21" s="16"/>
      <c r="H21" s="33"/>
      <c r="I21" s="15"/>
      <c r="J21" s="16"/>
      <c r="K21" s="15"/>
      <c r="L21" s="30"/>
      <c r="M21" s="16"/>
    </row>
    <row r="22" spans="1:13">
      <c r="A22" s="17">
        <v>2.4</v>
      </c>
      <c r="B22" s="14"/>
      <c r="C22" s="17" t="s">
        <v>22</v>
      </c>
      <c r="D22" s="14"/>
      <c r="E22" s="17" t="s">
        <v>10</v>
      </c>
      <c r="F22" s="29"/>
      <c r="G22" s="14"/>
      <c r="H22" s="32">
        <v>168</v>
      </c>
      <c r="I22" s="17">
        <v>2</v>
      </c>
      <c r="J22" s="14"/>
      <c r="K22" s="31">
        <f>SUM(Q20*I22+Q9*H22)</f>
        <v>10080</v>
      </c>
      <c r="L22" s="29"/>
      <c r="M22" s="14"/>
    </row>
    <row r="23" spans="1:13">
      <c r="A23" s="15"/>
      <c r="B23" s="16"/>
      <c r="C23" s="15"/>
      <c r="D23" s="16"/>
      <c r="E23" s="15"/>
      <c r="F23" s="30"/>
      <c r="G23" s="16"/>
      <c r="H23" s="33"/>
      <c r="I23" s="15"/>
      <c r="J23" s="16"/>
      <c r="K23" s="15"/>
      <c r="L23" s="30"/>
      <c r="M23" s="16"/>
    </row>
    <row r="24" spans="1:13">
      <c r="A24" s="17">
        <v>3</v>
      </c>
      <c r="B24" s="14"/>
      <c r="C24" s="17" t="s">
        <v>23</v>
      </c>
      <c r="D24" s="14"/>
      <c r="E24" s="17" t="s">
        <v>10</v>
      </c>
      <c r="F24" s="29"/>
      <c r="G24" s="14"/>
      <c r="H24" s="32">
        <v>4</v>
      </c>
      <c r="I24" s="17">
        <v>1</v>
      </c>
      <c r="J24" s="14"/>
      <c r="K24" s="31">
        <f>SUM(Q22*I24+Q9*H24)</f>
        <v>240</v>
      </c>
      <c r="L24" s="29"/>
      <c r="M24" s="14"/>
    </row>
    <row r="25" spans="1:13">
      <c r="A25" s="15"/>
      <c r="B25" s="16"/>
      <c r="C25" s="15"/>
      <c r="D25" s="16"/>
      <c r="E25" s="15"/>
      <c r="F25" s="30"/>
      <c r="G25" s="16"/>
      <c r="H25" s="33"/>
      <c r="I25" s="15"/>
      <c r="J25" s="16"/>
      <c r="K25" s="15"/>
      <c r="L25" s="30"/>
      <c r="M25" s="16"/>
    </row>
    <row r="26" spans="1:13">
      <c r="A26" s="17">
        <v>3.1</v>
      </c>
      <c r="B26" s="14"/>
      <c r="C26" s="17" t="s">
        <v>24</v>
      </c>
      <c r="D26" s="14"/>
      <c r="E26" s="17" t="s">
        <v>19</v>
      </c>
      <c r="F26" s="29"/>
      <c r="G26" s="14"/>
      <c r="H26" s="32">
        <v>12</v>
      </c>
      <c r="I26" s="17">
        <v>0</v>
      </c>
      <c r="J26" s="14"/>
      <c r="K26" s="31">
        <f>SUM(Q24*I26+Q9*H26)</f>
        <v>720</v>
      </c>
      <c r="L26" s="29"/>
      <c r="M26" s="14"/>
    </row>
    <row r="27" spans="1:13">
      <c r="A27" s="15"/>
      <c r="B27" s="16"/>
      <c r="C27" s="15"/>
      <c r="D27" s="16"/>
      <c r="E27" s="15"/>
      <c r="F27" s="30"/>
      <c r="G27" s="16"/>
      <c r="H27" s="33"/>
      <c r="I27" s="15"/>
      <c r="J27" s="16"/>
      <c r="K27" s="15"/>
      <c r="L27" s="30"/>
      <c r="M27" s="16"/>
    </row>
    <row r="28" spans="1:13">
      <c r="A28" s="17"/>
      <c r="B28" s="14"/>
      <c r="C28" s="17"/>
      <c r="D28" s="14"/>
      <c r="E28" s="17"/>
      <c r="F28" s="29"/>
      <c r="G28" s="14"/>
      <c r="H28" s="32"/>
      <c r="I28" s="17"/>
      <c r="J28" s="14"/>
      <c r="K28" s="31">
        <f>SUM(Q8*I28)</f>
        <v>0</v>
      </c>
      <c r="L28" s="29"/>
      <c r="M28" s="14"/>
    </row>
    <row r="29" spans="1:13">
      <c r="A29" s="15"/>
      <c r="B29" s="16"/>
      <c r="C29" s="15"/>
      <c r="D29" s="16"/>
      <c r="E29" s="15"/>
      <c r="F29" s="30"/>
      <c r="G29" s="16"/>
      <c r="H29" s="33"/>
      <c r="I29" s="15"/>
      <c r="J29" s="16"/>
      <c r="K29" s="15"/>
      <c r="L29" s="30"/>
      <c r="M29" s="16"/>
    </row>
    <row r="30" spans="1:13" ht="14.25" customHeight="1">
      <c r="A30" s="7" t="s">
        <v>1</v>
      </c>
      <c r="B30" s="8"/>
      <c r="C30" s="8"/>
      <c r="D30" s="9"/>
      <c r="E30" s="40"/>
      <c r="F30" s="25"/>
      <c r="G30" s="26"/>
      <c r="H30" s="23">
        <f>SUM(H2:J29)</f>
        <v>909</v>
      </c>
      <c r="I30" s="25">
        <f>SUM(I2:J29)</f>
        <v>18</v>
      </c>
      <c r="J30" s="26"/>
      <c r="K30" s="34">
        <f>SUM(K2:M29)</f>
        <v>58960</v>
      </c>
      <c r="L30" s="35"/>
      <c r="M30" s="36"/>
    </row>
    <row r="31" spans="1:13" ht="14.25" customHeight="1">
      <c r="A31" s="10"/>
      <c r="B31" s="11"/>
      <c r="C31" s="11"/>
      <c r="D31" s="12"/>
      <c r="E31" s="41"/>
      <c r="F31" s="27"/>
      <c r="G31" s="28"/>
      <c r="H31" s="24"/>
      <c r="I31" s="27"/>
      <c r="J31" s="28"/>
      <c r="K31" s="37"/>
      <c r="L31" s="38"/>
      <c r="M31" s="39"/>
    </row>
  </sheetData>
  <mergeCells count="102">
    <mergeCell ref="K28:M29"/>
    <mergeCell ref="K26:M27"/>
    <mergeCell ref="H22:H23"/>
    <mergeCell ref="H24:H25"/>
    <mergeCell ref="H26:H27"/>
    <mergeCell ref="H28:H29"/>
    <mergeCell ref="A28:B29"/>
    <mergeCell ref="K30:M31"/>
    <mergeCell ref="E24:G25"/>
    <mergeCell ref="E26:G27"/>
    <mergeCell ref="E28:G29"/>
    <mergeCell ref="E30:G31"/>
    <mergeCell ref="E18:G19"/>
    <mergeCell ref="K18:M19"/>
    <mergeCell ref="E20:G21"/>
    <mergeCell ref="K20:M21"/>
    <mergeCell ref="H18:H19"/>
    <mergeCell ref="H20:H21"/>
    <mergeCell ref="E22:G23"/>
    <mergeCell ref="K22:M23"/>
    <mergeCell ref="K24:M25"/>
    <mergeCell ref="K10:M11"/>
    <mergeCell ref="E12:G13"/>
    <mergeCell ref="K12:M13"/>
    <mergeCell ref="H10:H11"/>
    <mergeCell ref="H12:H13"/>
    <mergeCell ref="E14:G15"/>
    <mergeCell ref="K14:M15"/>
    <mergeCell ref="E16:G17"/>
    <mergeCell ref="K16:M17"/>
    <mergeCell ref="H16:H17"/>
    <mergeCell ref="H14:H15"/>
    <mergeCell ref="K1:M1"/>
    <mergeCell ref="H30:H31"/>
    <mergeCell ref="I30:J31"/>
    <mergeCell ref="I28:J29"/>
    <mergeCell ref="I26:J27"/>
    <mergeCell ref="I24:J25"/>
    <mergeCell ref="I22:J23"/>
    <mergeCell ref="I20:J21"/>
    <mergeCell ref="I18:J19"/>
    <mergeCell ref="I16:J17"/>
    <mergeCell ref="I14:J15"/>
    <mergeCell ref="I12:J13"/>
    <mergeCell ref="I10:J11"/>
    <mergeCell ref="K2:M3"/>
    <mergeCell ref="K4:M5"/>
    <mergeCell ref="I4:J5"/>
    <mergeCell ref="I2:J3"/>
    <mergeCell ref="H2:H3"/>
    <mergeCell ref="H4:H5"/>
    <mergeCell ref="K6:M7"/>
    <mergeCell ref="K8:M9"/>
    <mergeCell ref="I8:J9"/>
    <mergeCell ref="I6:J7"/>
    <mergeCell ref="H6:H7"/>
    <mergeCell ref="I1:J1"/>
    <mergeCell ref="A1:D1"/>
    <mergeCell ref="A2:B3"/>
    <mergeCell ref="A4:B5"/>
    <mergeCell ref="A6:B7"/>
    <mergeCell ref="A8:B9"/>
    <mergeCell ref="A10:B11"/>
    <mergeCell ref="A12:B13"/>
    <mergeCell ref="A14:B15"/>
    <mergeCell ref="E1:G1"/>
    <mergeCell ref="E2:G3"/>
    <mergeCell ref="E4:G5"/>
    <mergeCell ref="E6:G7"/>
    <mergeCell ref="E8:G9"/>
    <mergeCell ref="H8:H9"/>
    <mergeCell ref="E10:G11"/>
    <mergeCell ref="A30:D31"/>
    <mergeCell ref="C2:D3"/>
    <mergeCell ref="C4:D5"/>
    <mergeCell ref="C6:D7"/>
    <mergeCell ref="C8:D9"/>
    <mergeCell ref="C10:D11"/>
    <mergeCell ref="C12:D13"/>
    <mergeCell ref="C14:D15"/>
    <mergeCell ref="C16:D17"/>
    <mergeCell ref="C18:D19"/>
    <mergeCell ref="C20:D21"/>
    <mergeCell ref="C22:D23"/>
    <mergeCell ref="C24:D25"/>
    <mergeCell ref="C26:D27"/>
    <mergeCell ref="C28:D29"/>
    <mergeCell ref="A16:B17"/>
    <mergeCell ref="A18:B19"/>
    <mergeCell ref="A20:B21"/>
    <mergeCell ref="A22:B23"/>
    <mergeCell ref="A24:B25"/>
    <mergeCell ref="A26:B27"/>
    <mergeCell ref="O10:P10"/>
    <mergeCell ref="Q10:R10"/>
    <mergeCell ref="O11:P11"/>
    <mergeCell ref="Q11:R11"/>
    <mergeCell ref="O7:P7"/>
    <mergeCell ref="Q7:R7"/>
    <mergeCell ref="O8:P8"/>
    <mergeCell ref="O9:P9"/>
    <mergeCell ref="Q9:R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Eastern Institute Of Technology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Hiku Barry</dc:creator>
  <cp:keywords/>
  <dc:description/>
  <cp:lastModifiedBy>Hiku Barry</cp:lastModifiedBy>
  <cp:revision/>
  <dcterms:created xsi:type="dcterms:W3CDTF">2026-03-24T20:19:13Z</dcterms:created>
  <dcterms:modified xsi:type="dcterms:W3CDTF">2026-04-21T23:43:11Z</dcterms:modified>
  <cp:category/>
  <cp:contentStatus/>
</cp:coreProperties>
</file>